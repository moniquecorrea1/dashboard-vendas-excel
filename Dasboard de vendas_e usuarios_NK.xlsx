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un\Downloads\"/>
    </mc:Choice>
  </mc:AlternateContent>
  <xr:revisionPtr revIDLastSave="0" documentId="13_ncr:1_{8B9EFC52-FF0E-456B-9A0B-8AFADFE23D80}" xr6:coauthVersionLast="47" xr6:coauthVersionMax="47" xr10:uidLastSave="{00000000-0000-0000-0000-000000000000}"/>
  <bookViews>
    <workbookView xWindow="-120" yWindow="-120" windowWidth="29040" windowHeight="1572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3" l="1"/>
  <c r="G47" i="3"/>
  <c r="G40" i="3"/>
  <c r="G58" i="3"/>
</calcChain>
</file>

<file path=xl/sharedStrings.xml><?xml version="1.0" encoding="utf-8"?>
<sst xmlns="http://schemas.openxmlformats.org/spreadsheetml/2006/main" count="2030" uniqueCount="322">
  <si>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</si>
  <si>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</si>
  <si>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</si>
  <si>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</si>
  <si>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</si>
  <si>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</si>
  <si>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</si>
  <si>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</si>
  <si>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</si>
  <si>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</si>
  <si>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</si>
  <si>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</si>
  <si>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</si>
  <si>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</si>
  <si>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</si>
  <si>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</si>
  <si>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</si>
  <si>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</si>
  <si>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</si>
  <si>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</si>
  <si>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</si>
  <si>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</si>
  <si>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</si>
  <si>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</si>
  <si>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</si>
  <si>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</si>
  <si>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</si>
  <si>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</si>
  <si>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</si>
  <si>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</si>
  <si>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</si>
  <si>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</si>
  <si>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</si>
  <si>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</si>
  <si>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</si>
  <si>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</si>
  <si>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</si>
  <si>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</si>
  <si>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</si>
  <si>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</si>
  <si>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</si>
  <si>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</si>
  <si>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</si>
  <si>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</si>
  <si>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</si>
  <si>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</si>
  <si>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</si>
  <si>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</si>
  <si>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</si>
  <si>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</si>
  <si>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</si>
  <si>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</si>
  <si>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</si>
  <si>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</si>
  <si>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</si>
  <si>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</si>
  <si>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</si>
  <si>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</si>
  <si>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</si>
  <si>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</si>
  <si>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</si>
  <si>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</si>
  <si>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</si>
  <si>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</si>
  <si>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</si>
  <si>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</si>
  <si>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</si>
  <si>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</si>
  <si>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</si>
  <si>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</si>
  <si>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</si>
  <si>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</si>
  <si>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</si>
  <si>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</si>
  <si>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</si>
  <si>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</si>
  <si>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</si>
  <si>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</si>
  <si>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</si>
  <si>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</si>
  <si>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</si>
  <si>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</si>
  <si>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</si>
  <si>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</si>
  <si>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</si>
  <si>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</si>
  <si>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</si>
  <si>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</si>
  <si>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</si>
  <si>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</si>
  <si>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</si>
  <si>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</si>
  <si>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</si>
  <si>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</si>
  <si>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</si>
  <si>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</si>
  <si>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</si>
  <si>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</si>
  <si>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</si>
  <si>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</si>
  <si>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</si>
  <si>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</si>
  <si>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</si>
  <si>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</si>
  <si>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</si>
  <si>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</si>
  <si>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</si>
  <si>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</si>
  <si>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</si>
  <si>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</si>
  <si>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</si>
  <si>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</si>
  <si>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</si>
  <si>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</si>
  <si>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</si>
  <si>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</si>
  <si>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</si>
  <si>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</si>
  <si>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</si>
  <si>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</si>
  <si>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</si>
  <si>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</si>
  <si>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</si>
  <si>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</si>
  <si>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</si>
  <si>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</si>
  <si>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</si>
  <si>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</si>
  <si>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</si>
  <si>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</si>
  <si>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</si>
  <si>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</si>
  <si>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</si>
  <si>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</si>
  <si>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</si>
  <si>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</si>
  <si>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</si>
  <si>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</si>
  <si>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</si>
  <si>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</si>
  <si>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</si>
  <si>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</si>
  <si>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</si>
  <si>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</si>
  <si>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</si>
  <si>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</si>
  <si>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</si>
  <si>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</si>
  <si>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</si>
  <si>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</si>
  <si>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</si>
  <si>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</si>
  <si>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</si>
  <si>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</si>
  <si>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</si>
  <si>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</si>
  <si>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</si>
  <si>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</si>
  <si>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</si>
  <si>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</si>
  <si>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</si>
  <si>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</si>
  <si>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</si>
  <si>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</si>
  <si>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</si>
  <si>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</si>
  <si>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</si>
  <si>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</si>
  <si>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</si>
  <si>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</si>
  <si>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</si>
  <si>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</si>
  <si>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</si>
  <si>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</si>
  <si>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</si>
  <si>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</si>
  <si>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</si>
  <si>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</si>
  <si>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</si>
  <si>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</si>
  <si>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</si>
  <si>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</si>
  <si>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</si>
  <si>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</si>
  <si>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</si>
  <si>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</si>
  <si>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</si>
  <si>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</si>
  <si>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</si>
  <si>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</si>
  <si>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</si>
  <si>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</si>
  <si>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</si>
  <si>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</si>
  <si>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</si>
  <si>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</si>
  <si>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</si>
  <si>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</si>
  <si>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</si>
  <si>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</si>
  <si>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</si>
  <si>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</si>
  <si>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</si>
  <si>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</si>
  <si>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</si>
  <si>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</si>
  <si>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</si>
  <si>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</si>
  <si>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</si>
  <si>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</si>
  <si>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</si>
  <si>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</si>
  <si>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</si>
  <si>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</si>
  <si>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</si>
  <si>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</si>
  <si>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</si>
  <si>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</si>
  <si>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</si>
  <si>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</si>
  <si>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</si>
  <si>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</si>
  <si>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</si>
  <si>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</si>
  <si>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</si>
  <si>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</si>
  <si>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</si>
  <si>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</si>
  <si>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</si>
  <si>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</si>
  <si>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</si>
  <si>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</si>
  <si>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</si>
  <si>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</si>
  <si>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</si>
  <si>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</si>
  <si>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</si>
  <si>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</si>
  <si>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</si>
  <si>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</si>
  <si>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</si>
  <si>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</si>
  <si>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</si>
  <si>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</si>
  <si>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</si>
  <si>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</si>
  <si>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</si>
  <si>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</si>
  <si>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</si>
  <si>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</si>
  <si>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</si>
  <si>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</si>
  <si>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</si>
  <si>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</si>
  <si>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</si>
  <si>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</si>
  <si>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</si>
  <si>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</si>
  <si>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</si>
  <si>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</si>
  <si>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</si>
  <si>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</si>
  <si>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</si>
  <si>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</si>
  <si>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</si>
  <si>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</si>
  <si>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</si>
  <si>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</si>
  <si>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</si>
  <si>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</si>
  <si>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</si>
  <si>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</si>
  <si>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</si>
  <si>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</si>
  <si>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</si>
  <si>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</si>
  <si>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</si>
  <si>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</si>
  <si>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</si>
  <si>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</si>
  <si>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</si>
  <si>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</si>
  <si>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</si>
  <si>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</si>
  <si>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</si>
  <si>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</si>
  <si>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</si>
  <si>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</si>
  <si>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</si>
  <si>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</si>
  <si>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</si>
  <si>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</si>
  <si>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</si>
  <si>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</si>
  <si>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</si>
  <si>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</si>
  <si>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</si>
  <si>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</si>
  <si>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</si>
  <si>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</si>
  <si>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</si>
  <si>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</si>
  <si>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</si>
  <si>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</si>
  <si>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</si>
  <si>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</si>
  <si>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</si>
  <si>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</si>
  <si>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</si>
  <si>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</si>
  <si>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</si>
  <si>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</si>
  <si>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</si>
  <si>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O objetivo deste desafio é criar um dashboard de vendas, com foco na organização e visualização de dados. O objetivo é transformar dados brutos em informações visuais claras e úteis, permitindo uma análise eficaz do desempenho de vendas e a tomada de decisões baseadas em dados.</t>
  </si>
  <si>
    <t>Soma de Total Value</t>
  </si>
  <si>
    <t>Rótulos de Linha</t>
  </si>
  <si>
    <t>Total Geral</t>
  </si>
  <si>
    <t xml:space="preserve">    XBOX GAME PASS SUBSCRIPTIONS SALES</t>
  </si>
  <si>
    <t>Soma de EA Play Season Pass</t>
  </si>
  <si>
    <t>Soma de Minecraft Season Pass Price</t>
  </si>
  <si>
    <t>Contagem de Subscriber ID</t>
  </si>
  <si>
    <t>Calculation period: 01/01/2024 - 31/12/2024 |Update date: 17/01/2026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</si>
</sst>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23282C"/>
      <name val="Segoe UI"/>
      <family val="2"/>
    </font>
    <font>
      <b/>
      <sz val="24"/>
      <color theme="3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22C55E"/>
      </bottom>
      <diagonal/>
    </border>
    <border>
      <left style="medium">
        <color rgb="FF22C55E"/>
      </left>
      <right/>
      <top style="medium">
        <color rgb="FF22C55E"/>
      </top>
      <bottom/>
      <diagonal/>
    </border>
    <border>
      <left/>
      <right/>
      <top style="medium">
        <color rgb="FF22C55E"/>
      </top>
      <bottom/>
      <diagonal/>
    </border>
    <border>
      <left/>
      <right style="medium">
        <color rgb="FF22C55E"/>
      </right>
      <top style="medium">
        <color rgb="FF22C55E"/>
      </top>
      <bottom/>
      <diagonal/>
    </border>
    <border>
      <left style="medium">
        <color rgb="FF22C55E"/>
      </left>
      <right/>
      <top/>
      <bottom/>
      <diagonal/>
    </border>
    <border>
      <left/>
      <right style="medium">
        <color rgb="FF22C55E"/>
      </right>
      <top/>
      <bottom style="thick">
        <color rgb="FF22C55E"/>
      </bottom>
      <diagonal/>
    </border>
    <border>
      <left/>
      <right style="medium">
        <color rgb="FF22C55E"/>
      </right>
      <top/>
      <bottom/>
      <diagonal/>
    </border>
    <border>
      <left style="medium">
        <color rgb="FF22C55E"/>
      </left>
      <right/>
      <top/>
      <bottom style="medium">
        <color rgb="FF22C55E"/>
      </bottom>
      <diagonal/>
    </border>
    <border>
      <left/>
      <right/>
      <top/>
      <bottom style="medium">
        <color rgb="FF22C55E"/>
      </bottom>
      <diagonal/>
    </border>
    <border>
      <left/>
      <right style="medium">
        <color rgb="FF22C55E"/>
      </right>
      <top/>
      <bottom style="medium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3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5" borderId="4" xfId="0" applyFill="1" applyBorder="1"/>
    <xf numFmtId="0" fontId="0" fillId="5" borderId="5" xfId="0" applyFill="1" applyBorder="1"/>
    <xf numFmtId="0" fontId="0" fillId="5" borderId="7" xfId="0" applyFill="1" applyBorder="1"/>
    <xf numFmtId="0" fontId="0" fillId="7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7" borderId="11" xfId="0" applyFill="1" applyBorder="1"/>
    <xf numFmtId="0" fontId="0" fillId="7" borderId="12" xfId="0" applyFill="1" applyBorder="1"/>
    <xf numFmtId="0" fontId="5" fillId="0" borderId="0" xfId="0" applyFont="1" applyAlignment="1">
      <alignment horizontal="center" wrapText="1"/>
    </xf>
    <xf numFmtId="0" fontId="6" fillId="0" borderId="5" xfId="3" applyFont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7" fillId="7" borderId="0" xfId="0" applyFont="1" applyFill="1" applyAlignment="1">
      <alignment horizontal="center"/>
    </xf>
  </cellXfs>
  <cellStyles count="4">
    <cellStyle name="Moeda" xfId="2" builtinId="4"/>
    <cellStyle name="Normal" xfId="0" builtinId="0"/>
    <cellStyle name="Título 1" xfId="1" builtinId="16"/>
    <cellStyle name="Título 2" xfId="3" builtinId="17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fill>
        <patternFill>
          <bgColor rgb="FF2AE6B1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fgColor rgb="FF2AE6B1"/>
          <bgColor rgb="FF2AE6B1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</dxfs>
  <tableStyles count="1" defaultTableStyle="TableStyleMedium2" defaultPivotStyle="PivotStyleLight16">
    <tableStyle name="SlicerStyleLight6 2" pivot="0" table="0" count="10" xr9:uid="{7CAFC26C-6C5E-469D-8E72-06ECB9630293}">
      <tableStyleElement type="wholeTable" dxfId="15"/>
      <tableStyleElement type="headerRow" dxfId="14"/>
    </tableStyle>
  </tableStyles>
  <colors>
    <mruColors>
      <color rgb="FF22C55E"/>
      <color rgb="FF5BF6A8"/>
      <color rgb="FF2AE6B1"/>
      <color rgb="FFE8E6E9"/>
      <color rgb="FF000000"/>
      <color rgb="FF99FF99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[Dasboard de vendas_e usuarios.xlsx]C̳álculos!tb_annual_total</c:name>
    <c:fmtId val="0"/>
  </c:pivotSource>
  <c:chart>
    <c:autoTitleDeleted val="1"/>
    <c:pivotFmts>
      <c:pivotFmt>
        <c:idx val="0"/>
        <c:spPr>
          <a:solidFill>
            <a:srgbClr val="99FF99"/>
          </a:solidFill>
          <a:ln>
            <a:solidFill>
              <a:srgbClr val="99FF99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FF99"/>
            </a:solidFill>
            <a:ln>
              <a:solidFill>
                <a:srgbClr val="99FF99"/>
              </a:solidFill>
            </a:ln>
            <a:effectLst/>
          </c:spPr>
          <c:invertIfNegative val="0"/>
          <c:cat>
            <c:strRef>
              <c:f>C̳álculos!$B$14:$B$16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C̳álculos!$C$14:$C$16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2-4749-8A1A-8D2496AB9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4400448"/>
        <c:axId val="1624402848"/>
      </c:barChart>
      <c:catAx>
        <c:axId val="162440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4402848"/>
        <c:crosses val="autoZero"/>
        <c:auto val="1"/>
        <c:lblAlgn val="ctr"/>
        <c:lblOffset val="100"/>
        <c:noMultiLvlLbl val="0"/>
      </c:catAx>
      <c:valAx>
        <c:axId val="162440284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2440044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[Dasboard de vendas_e usuarios.xlsx]C̳álculos!tbl_plan_total</c:name>
    <c:fmtId val="12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C̳álculos!$B$55:$B$58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C̳álculos!$C$55:$C$58</c:f>
              <c:numCache>
                <c:formatCode>_("R$"* #,##0.00_);_("R$"* \(#,##0.00\);_("R$"* "-"??_);_(@_)</c:formatCode>
                <c:ptCount val="3"/>
                <c:pt idx="0">
                  <c:v>132</c:v>
                </c:pt>
                <c:pt idx="1">
                  <c:v>395</c:v>
                </c:pt>
                <c:pt idx="2">
                  <c:v>1781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C-45B0-A327-0F1035970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7710687"/>
        <c:axId val="497705407"/>
      </c:barChart>
      <c:catAx>
        <c:axId val="49771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7705407"/>
        <c:crosses val="autoZero"/>
        <c:auto val="1"/>
        <c:lblAlgn val="ctr"/>
        <c:lblOffset val="100"/>
        <c:noMultiLvlLbl val="0"/>
      </c:catAx>
      <c:valAx>
        <c:axId val="49770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771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[Dasboard de vendas_e usuarios.xlsx]C̳álculos!tb_annual_total</c:name>
    <c:fmtId val="7"/>
  </c:pivotSource>
  <c:chart>
    <c:autoTitleDeleted val="1"/>
    <c:pivotFmts>
      <c:pivotFmt>
        <c:idx val="0"/>
        <c:spPr>
          <a:solidFill>
            <a:srgbClr val="99FF99"/>
          </a:solidFill>
          <a:ln>
            <a:solidFill>
              <a:srgbClr val="99FF99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9FF99"/>
          </a:solidFill>
          <a:ln>
            <a:solidFill>
              <a:srgbClr val="99FF99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solidFill>
              <a:srgbClr val="99FF99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355269445544283"/>
          <c:y val="0.13186506485212507"/>
          <c:w val="0.68175876924584844"/>
          <c:h val="0.785415087860966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solidFill>
                <a:srgbClr val="99FF99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C̳álculos!$B$14:$B$16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C̳álculos!$C$14:$C$16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5-48B9-920F-0ECD2286C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4400448"/>
        <c:axId val="1624402848"/>
      </c:barChart>
      <c:catAx>
        <c:axId val="162440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4402848"/>
        <c:crosses val="autoZero"/>
        <c:auto val="1"/>
        <c:lblAlgn val="ctr"/>
        <c:lblOffset val="100"/>
        <c:noMultiLvlLbl val="0"/>
      </c:catAx>
      <c:valAx>
        <c:axId val="162440284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2440044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[Dasboard de vendas_e usuarios.xlsx]C̳álculos!tbl_plan_total</c:name>
    <c:fmtId val="19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127580927384078"/>
          <c:y val="7.407407407407407E-2"/>
          <c:w val="0.79872419072615919"/>
          <c:h val="0.842045056867891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C̳álculos!$B$55:$B$58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C̳álculos!$C$55:$C$58</c:f>
              <c:numCache>
                <c:formatCode>_("R$"* #,##0.00_);_("R$"* \(#,##0.00\);_("R$"* "-"??_);_(@_)</c:formatCode>
                <c:ptCount val="3"/>
                <c:pt idx="0">
                  <c:v>132</c:v>
                </c:pt>
                <c:pt idx="1">
                  <c:v>395</c:v>
                </c:pt>
                <c:pt idx="2">
                  <c:v>1781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ED-49DB-9829-0D0417F44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7710687"/>
        <c:axId val="497705407"/>
      </c:barChart>
      <c:catAx>
        <c:axId val="49771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200" b="1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7705407"/>
        <c:crosses val="autoZero"/>
        <c:auto val="1"/>
        <c:lblAlgn val="ctr"/>
        <c:lblOffset val="100"/>
        <c:noMultiLvlLbl val="0"/>
      </c:catAx>
      <c:valAx>
        <c:axId val="497705407"/>
        <c:scaling>
          <c:logBase val="5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22C55E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771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image" Target="../media/image10.svg"/><Relationship Id="rId4" Type="http://schemas.openxmlformats.org/officeDocument/2006/relationships/image" Target="../media/image9.png"/><Relationship Id="rId9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19050</xdr:colOff>
      <xdr:row>28</xdr:row>
      <xdr:rowOff>85724</xdr:rowOff>
    </xdr:from>
    <xdr:to>
      <xdr:col>3</xdr:col>
      <xdr:colOff>349326</xdr:colOff>
      <xdr:row>32</xdr:row>
      <xdr:rowOff>76200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628650" y="5572124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10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10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1562100</xdr:colOff>
      <xdr:row>6</xdr:row>
      <xdr:rowOff>47625</xdr:rowOff>
    </xdr:from>
    <xdr:to>
      <xdr:col>10</xdr:col>
      <xdr:colOff>171450</xdr:colOff>
      <xdr:row>20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E167F0-7642-6F11-296B-4B94525A5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314325</xdr:colOff>
      <xdr:row>6</xdr:row>
      <xdr:rowOff>133350</xdr:rowOff>
    </xdr:from>
    <xdr:to>
      <xdr:col>6</xdr:col>
      <xdr:colOff>1323975</xdr:colOff>
      <xdr:row>20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30999495-4A2C-425E-1119-BACD9D49ED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76825" y="12954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44</xdr:row>
      <xdr:rowOff>9525</xdr:rowOff>
    </xdr:from>
    <xdr:to>
      <xdr:col>10</xdr:col>
      <xdr:colOff>819150</xdr:colOff>
      <xdr:row>58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6766A74-13C4-071F-93D9-64D8AE24A6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814916</xdr:colOff>
      <xdr:row>2</xdr:row>
      <xdr:rowOff>41413</xdr:rowOff>
    </xdr:from>
    <xdr:to>
      <xdr:col>0</xdr:col>
      <xdr:colOff>1544738</xdr:colOff>
      <xdr:row>6</xdr:row>
      <xdr:rowOff>33131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FD505F9-2A77-4A66-9729-45E0943A32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6676" b="4600"/>
        <a:stretch>
          <a:fillRect/>
        </a:stretch>
      </xdr:blipFill>
      <xdr:spPr>
        <a:xfrm>
          <a:off x="814916" y="662609"/>
          <a:ext cx="729822" cy="637761"/>
        </a:xfrm>
        <a:prstGeom prst="rect">
          <a:avLst/>
        </a:prstGeom>
      </xdr:spPr>
    </xdr:pic>
    <xdr:clientData/>
  </xdr:twoCellAnchor>
  <xdr:twoCellAnchor editAs="oneCell">
    <xdr:from>
      <xdr:col>0</xdr:col>
      <xdr:colOff>119061</xdr:colOff>
      <xdr:row>9</xdr:row>
      <xdr:rowOff>23813</xdr:rowOff>
    </xdr:from>
    <xdr:to>
      <xdr:col>1</xdr:col>
      <xdr:colOff>488155</xdr:colOff>
      <xdr:row>15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ubscription Type 1">
              <a:extLst>
                <a:ext uri="{FF2B5EF4-FFF2-40B4-BE49-F238E27FC236}">
                  <a16:creationId xmlns:a16="http://schemas.microsoft.com/office/drawing/2014/main" id="{FF5CD516-9C81-43F7-8D85-02EEB42718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61" y="2101995"/>
              <a:ext cx="1945049" cy="12620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238125</xdr:colOff>
      <xdr:row>6</xdr:row>
      <xdr:rowOff>14887</xdr:rowOff>
    </xdr:from>
    <xdr:to>
      <xdr:col>9</xdr:col>
      <xdr:colOff>0</xdr:colOff>
      <xdr:row>14</xdr:row>
      <xdr:rowOff>0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BE7D6A0-C879-CEE1-1F0D-2A086C871196}"/>
            </a:ext>
          </a:extLst>
        </xdr:cNvPr>
        <xdr:cNvGrpSpPr/>
      </xdr:nvGrpSpPr>
      <xdr:grpSpPr>
        <a:xfrm>
          <a:off x="2452688" y="1276950"/>
          <a:ext cx="4012406" cy="1735331"/>
          <a:chOff x="2449582" y="935934"/>
          <a:chExt cx="4665179" cy="1707873"/>
        </a:xfrm>
      </xdr:grpSpPr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DA006F13-A08D-351A-20D7-D57D00E213D4}"/>
              </a:ext>
            </a:extLst>
          </xdr:cNvPr>
          <xdr:cNvGrpSpPr/>
        </xdr:nvGrpSpPr>
        <xdr:grpSpPr>
          <a:xfrm>
            <a:off x="2449583" y="935934"/>
            <a:ext cx="4665178" cy="1707873"/>
            <a:chOff x="2449583" y="943804"/>
            <a:chExt cx="4665178" cy="1707873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BAE4CCA7-6E00-1298-1871-CD13F388F05D}"/>
                </a:ext>
              </a:extLst>
            </xdr:cNvPr>
            <xdr:cNvSpPr/>
          </xdr:nvSpPr>
          <xdr:spPr>
            <a:xfrm>
              <a:off x="2449583" y="943804"/>
              <a:ext cx="4642815" cy="1707873"/>
            </a:xfrm>
            <a:prstGeom prst="roundRect">
              <a:avLst>
                <a:gd name="adj" fmla="val 5346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G29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75C41689-1A2E-4262-B2DE-82725D0189DF}"/>
                </a:ext>
              </a:extLst>
            </xdr:cNvPr>
            <xdr:cNvSpPr/>
          </xdr:nvSpPr>
          <xdr:spPr>
            <a:xfrm>
              <a:off x="3732558" y="1381539"/>
              <a:ext cx="3382203" cy="1203463"/>
            </a:xfrm>
            <a:prstGeom prst="roundRect">
              <a:avLst>
                <a:gd name="adj" fmla="val 5346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3F95A960-1821-45AC-BCDE-1EB394AD5F41}" type="TxLink">
                <a:rPr lang="en-US" sz="4000" b="1" i="0" u="none" strike="noStrike">
                  <a:solidFill>
                    <a:srgbClr val="22C55E"/>
                  </a:solidFill>
                  <a:effectLst/>
                  <a:latin typeface="Aptos Narrow"/>
                  <a:ea typeface="+mn-ea"/>
                  <a:cs typeface="+mn-cs"/>
                </a:rPr>
                <a:pPr algn="ctr"/>
                <a:t>R$ 990,00</a:t>
              </a:fld>
              <a:endParaRPr lang="pt-BR" sz="4000" b="1">
                <a:solidFill>
                  <a:srgbClr val="22C55E"/>
                </a:solidFill>
              </a:endParaRPr>
            </a:p>
          </xdr:txBody>
        </xdr:sp>
        <xdr:pic>
          <xdr:nvPicPr>
            <xdr:cNvPr id="17" name="Imagem 16">
              <a:extLst>
                <a:ext uri="{FF2B5EF4-FFF2-40B4-BE49-F238E27FC236}">
                  <a16:creationId xmlns:a16="http://schemas.microsoft.com/office/drawing/2014/main" id="{A8C5D9CF-AAA9-44CA-8F42-79A2CCC22A1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640082" y="1372014"/>
              <a:ext cx="1225826" cy="1222513"/>
            </a:xfrm>
            <a:prstGeom prst="rect">
              <a:avLst/>
            </a:prstGeom>
          </xdr:spPr>
        </xdr:pic>
      </xdr:grpSp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06D197F8-B86F-7535-7EE3-562E43B54553}"/>
              </a:ext>
            </a:extLst>
          </xdr:cNvPr>
          <xdr:cNvSpPr/>
        </xdr:nvSpPr>
        <xdr:spPr>
          <a:xfrm>
            <a:off x="2449582" y="943804"/>
            <a:ext cx="4665179" cy="323435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</a:rPr>
              <a:t>TOTAL</a:t>
            </a:r>
            <a:r>
              <a:rPr lang="pt-BR" sz="1200" b="1" baseline="0">
                <a:solidFill>
                  <a:schemeClr val="bg1"/>
                </a:solidFill>
              </a:rPr>
              <a:t> SUBSCRIPTIONS EA PLAY SEASON PASS</a:t>
            </a:r>
          </a:p>
        </xdr:txBody>
      </xdr:sp>
    </xdr:grpSp>
    <xdr:clientData/>
  </xdr:twoCellAnchor>
  <xdr:twoCellAnchor editAs="absolute">
    <xdr:from>
      <xdr:col>9</xdr:col>
      <xdr:colOff>367393</xdr:colOff>
      <xdr:row>6</xdr:row>
      <xdr:rowOff>6084</xdr:rowOff>
    </xdr:from>
    <xdr:to>
      <xdr:col>16</xdr:col>
      <xdr:colOff>598713</xdr:colOff>
      <xdr:row>13</xdr:row>
      <xdr:rowOff>150318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82D554A7-CF89-C3AA-9425-605A48DF91D3}"/>
            </a:ext>
          </a:extLst>
        </xdr:cNvPr>
        <xdr:cNvGrpSpPr/>
      </xdr:nvGrpSpPr>
      <xdr:grpSpPr>
        <a:xfrm>
          <a:off x="6832487" y="1268147"/>
          <a:ext cx="4315164" cy="1703952"/>
          <a:chOff x="7653618" y="932330"/>
          <a:chExt cx="4616458" cy="1701052"/>
        </a:xfrm>
      </xdr:grpSpPr>
      <xdr:sp macro="" textlink="">
        <xdr:nvSpPr>
          <xdr:cNvPr id="34" name="Retângulo: Cantos Arredondados 33">
            <a:extLst>
              <a:ext uri="{FF2B5EF4-FFF2-40B4-BE49-F238E27FC236}">
                <a16:creationId xmlns:a16="http://schemas.microsoft.com/office/drawing/2014/main" id="{AF55CB54-4D69-4BAE-0A25-A9D2F69E997D}"/>
              </a:ext>
            </a:extLst>
          </xdr:cNvPr>
          <xdr:cNvSpPr/>
        </xdr:nvSpPr>
        <xdr:spPr>
          <a:xfrm>
            <a:off x="7653619" y="932330"/>
            <a:ext cx="4594094" cy="1701052"/>
          </a:xfrm>
          <a:prstGeom prst="roundRect">
            <a:avLst>
              <a:gd name="adj" fmla="val 5346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G40">
        <xdr:nvSpPr>
          <xdr:cNvPr id="35" name="Retângulo: Cantos Arredondados 34">
            <a:extLst>
              <a:ext uri="{FF2B5EF4-FFF2-40B4-BE49-F238E27FC236}">
                <a16:creationId xmlns:a16="http://schemas.microsoft.com/office/drawing/2014/main" id="{F48CF2FD-FC12-AFAD-C009-8C3F64AC8FA9}"/>
              </a:ext>
            </a:extLst>
          </xdr:cNvPr>
          <xdr:cNvSpPr/>
        </xdr:nvSpPr>
        <xdr:spPr>
          <a:xfrm>
            <a:off x="8926850" y="1371040"/>
            <a:ext cx="3343226" cy="1195667"/>
          </a:xfrm>
          <a:prstGeom prst="roundRect">
            <a:avLst>
              <a:gd name="adj" fmla="val 534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46C6F96-A8DF-4D0E-9485-4B32A28095B5}" type="TxLink">
              <a:rPr lang="en-US" sz="4000" b="1" i="0" u="none" strike="noStrike">
                <a:solidFill>
                  <a:srgbClr val="22C55E"/>
                </a:solidFill>
                <a:effectLst/>
                <a:latin typeface="Aptos Narrow"/>
                <a:ea typeface="+mn-ea"/>
                <a:cs typeface="+mn-cs"/>
              </a:rPr>
              <a:pPr algn="ctr"/>
              <a:t>R$ 1.140,00</a:t>
            </a:fld>
            <a:endParaRPr lang="pt-BR" sz="11500" b="1">
              <a:solidFill>
                <a:srgbClr val="22C55E"/>
              </a:solidFill>
            </a:endParaRPr>
          </a:p>
        </xdr:txBody>
      </xdr:sp>
      <xdr:sp macro="" textlink="">
        <xdr:nvSpPr>
          <xdr:cNvPr id="33" name="Retângulo: Cantos Superiores Arredondados 32">
            <a:extLst>
              <a:ext uri="{FF2B5EF4-FFF2-40B4-BE49-F238E27FC236}">
                <a16:creationId xmlns:a16="http://schemas.microsoft.com/office/drawing/2014/main" id="{E6EA284C-FD67-C3C5-CA44-FAB01FF5A35F}"/>
              </a:ext>
            </a:extLst>
          </xdr:cNvPr>
          <xdr:cNvSpPr/>
        </xdr:nvSpPr>
        <xdr:spPr>
          <a:xfrm>
            <a:off x="7653618" y="940200"/>
            <a:ext cx="4616458" cy="325384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</a:rPr>
              <a:t>TOTAL</a:t>
            </a:r>
            <a:r>
              <a:rPr lang="pt-BR" sz="1200" b="1" baseline="0">
                <a:solidFill>
                  <a:schemeClr val="bg1"/>
                </a:solidFill>
              </a:rPr>
              <a:t>  MINECRAFT SEASON PASS PRICE</a:t>
            </a:r>
          </a:p>
        </xdr:txBody>
      </xdr:sp>
      <xdr:grpSp>
        <xdr:nvGrpSpPr>
          <xdr:cNvPr id="37" name="Agrupar 36">
            <a:extLst>
              <a:ext uri="{FF2B5EF4-FFF2-40B4-BE49-F238E27FC236}">
                <a16:creationId xmlns:a16="http://schemas.microsoft.com/office/drawing/2014/main" id="{A6A65532-4B92-4430-9022-3B375948484B}"/>
              </a:ext>
            </a:extLst>
          </xdr:cNvPr>
          <xdr:cNvGrpSpPr/>
        </xdr:nvGrpSpPr>
        <xdr:grpSpPr>
          <a:xfrm>
            <a:off x="7768946" y="1584109"/>
            <a:ext cx="1531936" cy="769528"/>
            <a:chOff x="3495675" y="5400674"/>
            <a:chExt cx="1549476" cy="752476"/>
          </a:xfrm>
        </xdr:grpSpPr>
        <xdr:pic>
          <xdr:nvPicPr>
            <xdr:cNvPr id="38" name="Imagem 37">
              <a:extLst>
                <a:ext uri="{FF2B5EF4-FFF2-40B4-BE49-F238E27FC236}">
                  <a16:creationId xmlns:a16="http://schemas.microsoft.com/office/drawing/2014/main" id="{B96C6348-E46A-037A-1557-3E201B97203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9" name="Gráfico 38">
              <a:extLst>
                <a:ext uri="{FF2B5EF4-FFF2-40B4-BE49-F238E27FC236}">
                  <a16:creationId xmlns:a16="http://schemas.microsoft.com/office/drawing/2014/main" id="{781BD836-C683-CE3C-95D3-7D3F2EF16F3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899882</xdr:colOff>
      <xdr:row>18</xdr:row>
      <xdr:rowOff>0</xdr:rowOff>
    </xdr:from>
    <xdr:to>
      <xdr:col>20</xdr:col>
      <xdr:colOff>0</xdr:colOff>
      <xdr:row>36</xdr:row>
      <xdr:rowOff>104775</xdr:rowOff>
    </xdr:to>
    <xdr:grpSp>
      <xdr:nvGrpSpPr>
        <xdr:cNvPr id="69" name="Agrupar 68">
          <a:extLst>
            <a:ext uri="{FF2B5EF4-FFF2-40B4-BE49-F238E27FC236}">
              <a16:creationId xmlns:a16="http://schemas.microsoft.com/office/drawing/2014/main" id="{17F34E24-5CCD-27EA-E691-2B1C75D519FB}"/>
            </a:ext>
          </a:extLst>
        </xdr:cNvPr>
        <xdr:cNvGrpSpPr/>
      </xdr:nvGrpSpPr>
      <xdr:grpSpPr>
        <a:xfrm>
          <a:off x="899882" y="3774281"/>
          <a:ext cx="12077931" cy="3533775"/>
          <a:chOff x="899882" y="3868511"/>
          <a:chExt cx="12162975" cy="3533775"/>
        </a:xfrm>
      </xdr:grpSpPr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BC66326D-E283-914B-E4B0-707C1192EF96}"/>
              </a:ext>
            </a:extLst>
          </xdr:cNvPr>
          <xdr:cNvGrpSpPr/>
        </xdr:nvGrpSpPr>
        <xdr:grpSpPr>
          <a:xfrm>
            <a:off x="899882" y="3887561"/>
            <a:ext cx="12162975" cy="3514725"/>
            <a:chOff x="1408265" y="1556498"/>
            <a:chExt cx="7994615" cy="391887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CFA9F9F3-04D9-CB14-D25D-6C1A07B083C0}"/>
                </a:ext>
              </a:extLst>
            </xdr:cNvPr>
            <xdr:cNvSpPr/>
          </xdr:nvSpPr>
          <xdr:spPr>
            <a:xfrm>
              <a:off x="2422840" y="1556498"/>
              <a:ext cx="6980040" cy="3918872"/>
            </a:xfrm>
            <a:prstGeom prst="roundRect">
              <a:avLst>
                <a:gd name="adj" fmla="val 377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400"/>
            </a:p>
          </xdr:txBody>
        </xdr:sp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4B0F5676-DD52-4EA8-B0EE-E4ABBD1EA22A}"/>
                </a:ext>
              </a:extLst>
            </xdr:cNvPr>
            <xdr:cNvGraphicFramePr>
              <a:graphicFrameLocks/>
            </xdr:cNvGraphicFramePr>
          </xdr:nvGraphicFramePr>
          <xdr:xfrm>
            <a:off x="1408265" y="1702057"/>
            <a:ext cx="6659787" cy="342368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40" name="Retângulo: Cantos Superiores Arredondados 39">
            <a:extLst>
              <a:ext uri="{FF2B5EF4-FFF2-40B4-BE49-F238E27FC236}">
                <a16:creationId xmlns:a16="http://schemas.microsoft.com/office/drawing/2014/main" id="{AD5F64C4-4A2C-4833-9692-FDD6724A2D22}"/>
              </a:ext>
            </a:extLst>
          </xdr:cNvPr>
          <xdr:cNvSpPr/>
        </xdr:nvSpPr>
        <xdr:spPr>
          <a:xfrm>
            <a:off x="2494189" y="3868511"/>
            <a:ext cx="10568668" cy="428625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bg1"/>
                </a:solidFill>
              </a:rPr>
              <a:t>TOTAL</a:t>
            </a:r>
            <a:r>
              <a:rPr lang="pt-BR" sz="1600" b="1" baseline="0">
                <a:solidFill>
                  <a:schemeClr val="bg1"/>
                </a:solidFill>
              </a:rPr>
              <a:t> SUBSCRIPTIONS XBOX GAME PASS</a:t>
            </a:r>
          </a:p>
        </xdr:txBody>
      </xdr:sp>
    </xdr:grpSp>
    <xdr:clientData/>
  </xdr:twoCellAnchor>
  <xdr:twoCellAnchor editAs="absolute">
    <xdr:from>
      <xdr:col>17</xdr:col>
      <xdr:colOff>488622</xdr:colOff>
      <xdr:row>6</xdr:row>
      <xdr:rowOff>14248</xdr:rowOff>
    </xdr:from>
    <xdr:to>
      <xdr:col>24</xdr:col>
      <xdr:colOff>353785</xdr:colOff>
      <xdr:row>13</xdr:row>
      <xdr:rowOff>160725</xdr:rowOff>
    </xdr:to>
    <xdr:grpSp>
      <xdr:nvGrpSpPr>
        <xdr:cNvPr id="52" name="Agrupar 51">
          <a:extLst>
            <a:ext uri="{FF2B5EF4-FFF2-40B4-BE49-F238E27FC236}">
              <a16:creationId xmlns:a16="http://schemas.microsoft.com/office/drawing/2014/main" id="{510E7346-A1BC-C8BF-C0E4-87A8367A3A31}"/>
            </a:ext>
          </a:extLst>
        </xdr:cNvPr>
        <xdr:cNvGrpSpPr/>
      </xdr:nvGrpSpPr>
      <xdr:grpSpPr>
        <a:xfrm>
          <a:off x="11644778" y="1276311"/>
          <a:ext cx="4115695" cy="1706195"/>
          <a:chOff x="12931588" y="932330"/>
          <a:chExt cx="4616458" cy="1701052"/>
        </a:xfrm>
      </xdr:grpSpPr>
      <xdr:sp macro="" textlink="">
        <xdr:nvSpPr>
          <xdr:cNvPr id="43" name="Retângulo: Cantos Arredondados 42">
            <a:extLst>
              <a:ext uri="{FF2B5EF4-FFF2-40B4-BE49-F238E27FC236}">
                <a16:creationId xmlns:a16="http://schemas.microsoft.com/office/drawing/2014/main" id="{0AF085AA-F3D5-816E-4E1A-CA59A6B21142}"/>
              </a:ext>
            </a:extLst>
          </xdr:cNvPr>
          <xdr:cNvSpPr/>
        </xdr:nvSpPr>
        <xdr:spPr>
          <a:xfrm>
            <a:off x="12931589" y="932330"/>
            <a:ext cx="4594094" cy="1701052"/>
          </a:xfrm>
          <a:prstGeom prst="roundRect">
            <a:avLst>
              <a:gd name="adj" fmla="val 5346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G47">
        <xdr:nvSpPr>
          <xdr:cNvPr id="44" name="Retângulo: Cantos Arredondados 43">
            <a:extLst>
              <a:ext uri="{FF2B5EF4-FFF2-40B4-BE49-F238E27FC236}">
                <a16:creationId xmlns:a16="http://schemas.microsoft.com/office/drawing/2014/main" id="{335D3D79-B14F-0A38-EB9E-AB634FB1E466}"/>
              </a:ext>
            </a:extLst>
          </xdr:cNvPr>
          <xdr:cNvSpPr/>
        </xdr:nvSpPr>
        <xdr:spPr>
          <a:xfrm>
            <a:off x="14204820" y="1371040"/>
            <a:ext cx="3343226" cy="1195667"/>
          </a:xfrm>
          <a:prstGeom prst="roundRect">
            <a:avLst>
              <a:gd name="adj" fmla="val 534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898FA12-3076-4C15-A12C-FC8E5CD43A10}" type="TxLink">
              <a:rPr lang="en-US" sz="4000" b="1" i="0" u="none" strike="noStrike">
                <a:solidFill>
                  <a:srgbClr val="22C55E"/>
                </a:solidFill>
                <a:effectLst/>
                <a:latin typeface="Aptos Narrow"/>
                <a:ea typeface="+mn-ea"/>
                <a:cs typeface="+mn-cs"/>
              </a:rPr>
              <a:pPr algn="ctr"/>
              <a:t>85</a:t>
            </a:fld>
            <a:endParaRPr lang="pt-BR" sz="71400" b="1">
              <a:solidFill>
                <a:srgbClr val="22C55E"/>
              </a:solidFill>
            </a:endParaRPr>
          </a:p>
        </xdr:txBody>
      </xdr:sp>
      <xdr:sp macro="" textlink="">
        <xdr:nvSpPr>
          <xdr:cNvPr id="45" name="Retângulo: Cantos Superiores Arredondados 44">
            <a:extLst>
              <a:ext uri="{FF2B5EF4-FFF2-40B4-BE49-F238E27FC236}">
                <a16:creationId xmlns:a16="http://schemas.microsoft.com/office/drawing/2014/main" id="{21F123FB-D529-E5BD-B433-0D2B170029FF}"/>
              </a:ext>
            </a:extLst>
          </xdr:cNvPr>
          <xdr:cNvSpPr/>
        </xdr:nvSpPr>
        <xdr:spPr>
          <a:xfrm>
            <a:off x="12931588" y="940200"/>
            <a:ext cx="4616458" cy="325384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</a:rPr>
              <a:t>TOTAL</a:t>
            </a:r>
            <a:r>
              <a:rPr lang="pt-BR" sz="1200" b="1" baseline="0">
                <a:solidFill>
                  <a:schemeClr val="bg1"/>
                </a:solidFill>
              </a:rPr>
              <a:t> SUBSCRIPTIONS</a:t>
            </a:r>
          </a:p>
        </xdr:txBody>
      </xdr:sp>
      <xdr:grpSp>
        <xdr:nvGrpSpPr>
          <xdr:cNvPr id="51" name="Agrupar 50">
            <a:extLst>
              <a:ext uri="{FF2B5EF4-FFF2-40B4-BE49-F238E27FC236}">
                <a16:creationId xmlns:a16="http://schemas.microsoft.com/office/drawing/2014/main" id="{A9A819EF-3F62-D4B8-9756-BA23FCDC3D01}"/>
              </a:ext>
            </a:extLst>
          </xdr:cNvPr>
          <xdr:cNvGrpSpPr/>
        </xdr:nvGrpSpPr>
        <xdr:grpSpPr>
          <a:xfrm>
            <a:off x="13088470" y="1545291"/>
            <a:ext cx="1210236" cy="707091"/>
            <a:chOff x="12931588" y="3462057"/>
            <a:chExt cx="1210236" cy="707091"/>
          </a:xfrm>
        </xdr:grpSpPr>
        <xdr:sp macro="" textlink="">
          <xdr:nvSpPr>
            <xdr:cNvPr id="49" name="Elipse 48">
              <a:extLst>
                <a:ext uri="{FF2B5EF4-FFF2-40B4-BE49-F238E27FC236}">
                  <a16:creationId xmlns:a16="http://schemas.microsoft.com/office/drawing/2014/main" id="{77EFD810-E359-436F-9BFB-DFFA38A1AAB2}"/>
                </a:ext>
              </a:extLst>
            </xdr:cNvPr>
            <xdr:cNvSpPr/>
          </xdr:nvSpPr>
          <xdr:spPr>
            <a:xfrm>
              <a:off x="12931588" y="3462057"/>
              <a:ext cx="695325" cy="695325"/>
            </a:xfrm>
            <a:prstGeom prst="ellipse">
              <a:avLst/>
            </a:prstGeom>
            <a:blipFill>
              <a:blip xmlns:r="http://schemas.openxmlformats.org/officeDocument/2006/relationships" r:embed="rId7"/>
              <a:stretch>
                <a:fillRect/>
              </a:stretch>
            </a:blip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50" name="Elipse 49">
              <a:extLst>
                <a:ext uri="{FF2B5EF4-FFF2-40B4-BE49-F238E27FC236}">
                  <a16:creationId xmlns:a16="http://schemas.microsoft.com/office/drawing/2014/main" id="{5636390C-69BB-4DF5-877F-1ADDE96D2EC1}"/>
                </a:ext>
              </a:extLst>
            </xdr:cNvPr>
            <xdr:cNvSpPr/>
          </xdr:nvSpPr>
          <xdr:spPr>
            <a:xfrm>
              <a:off x="13446499" y="3473823"/>
              <a:ext cx="695325" cy="695325"/>
            </a:xfrm>
            <a:prstGeom prst="ellipse">
              <a:avLst/>
            </a:prstGeom>
            <a:blipFill>
              <a:blip xmlns:r="http://schemas.openxmlformats.org/officeDocument/2006/relationships" r:embed="rId8"/>
              <a:stretch>
                <a:fillRect/>
              </a:stretch>
            </a:blip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</xdr:grpSp>
    </xdr:grpSp>
    <xdr:clientData/>
  </xdr:twoCellAnchor>
  <xdr:twoCellAnchor editAs="absolute">
    <xdr:from>
      <xdr:col>25</xdr:col>
      <xdr:colOff>217714</xdr:colOff>
      <xdr:row>5</xdr:row>
      <xdr:rowOff>95890</xdr:rowOff>
    </xdr:from>
    <xdr:to>
      <xdr:col>32</xdr:col>
      <xdr:colOff>353783</xdr:colOff>
      <xdr:row>14</xdr:row>
      <xdr:rowOff>41461</xdr:rowOff>
    </xdr:to>
    <xdr:grpSp>
      <xdr:nvGrpSpPr>
        <xdr:cNvPr id="62" name="Agrupar 61">
          <a:extLst>
            <a:ext uri="{FF2B5EF4-FFF2-40B4-BE49-F238E27FC236}">
              <a16:creationId xmlns:a16="http://schemas.microsoft.com/office/drawing/2014/main" id="{9E3320D7-E211-C105-7B67-13B96DBD6F33}"/>
            </a:ext>
          </a:extLst>
        </xdr:cNvPr>
        <xdr:cNvGrpSpPr/>
      </xdr:nvGrpSpPr>
      <xdr:grpSpPr>
        <a:xfrm>
          <a:off x="16231620" y="1238890"/>
          <a:ext cx="4708069" cy="1814852"/>
          <a:chOff x="13536706" y="3395382"/>
          <a:chExt cx="4616458" cy="1701052"/>
        </a:xfrm>
      </xdr:grpSpPr>
      <xdr:sp macro="" textlink="">
        <xdr:nvSpPr>
          <xdr:cNvPr id="54" name="Retângulo: Cantos Arredondados 53">
            <a:extLst>
              <a:ext uri="{FF2B5EF4-FFF2-40B4-BE49-F238E27FC236}">
                <a16:creationId xmlns:a16="http://schemas.microsoft.com/office/drawing/2014/main" id="{22622363-ACA8-A360-D8B3-3C9C757FC3AD}"/>
              </a:ext>
            </a:extLst>
          </xdr:cNvPr>
          <xdr:cNvSpPr/>
        </xdr:nvSpPr>
        <xdr:spPr>
          <a:xfrm>
            <a:off x="13536707" y="3395382"/>
            <a:ext cx="4594094" cy="1701052"/>
          </a:xfrm>
          <a:prstGeom prst="roundRect">
            <a:avLst>
              <a:gd name="adj" fmla="val 5346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G58">
        <xdr:nvSpPr>
          <xdr:cNvPr id="55" name="Retângulo: Cantos Arredondados 54">
            <a:extLst>
              <a:ext uri="{FF2B5EF4-FFF2-40B4-BE49-F238E27FC236}">
                <a16:creationId xmlns:a16="http://schemas.microsoft.com/office/drawing/2014/main" id="{BAFF0EC0-7CEA-AFAB-22AD-5ECDC3690CDB}"/>
              </a:ext>
            </a:extLst>
          </xdr:cNvPr>
          <xdr:cNvSpPr/>
        </xdr:nvSpPr>
        <xdr:spPr>
          <a:xfrm>
            <a:off x="14809938" y="3834092"/>
            <a:ext cx="3343226" cy="1195667"/>
          </a:xfrm>
          <a:prstGeom prst="roundRect">
            <a:avLst>
              <a:gd name="adj" fmla="val 534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B415515-D146-4357-A7F2-40D10FB98E5D}" type="TxLink">
              <a:rPr lang="en-US" sz="3600" b="1" i="0" u="none" strike="noStrike">
                <a:solidFill>
                  <a:srgbClr val="22C55E"/>
                </a:solidFill>
                <a:effectLst/>
                <a:latin typeface="Aptos Narrow"/>
                <a:ea typeface="+mn-ea"/>
                <a:cs typeface="+mn-cs"/>
              </a:rPr>
              <a:pPr algn="ctr"/>
              <a:t>R$ 2.308,00</a:t>
            </a:fld>
            <a:endParaRPr lang="pt-BR" sz="231500" b="1">
              <a:solidFill>
                <a:srgbClr val="22C55E"/>
              </a:solidFill>
            </a:endParaRPr>
          </a:p>
        </xdr:txBody>
      </xdr:sp>
      <xdr:sp macro="" textlink="">
        <xdr:nvSpPr>
          <xdr:cNvPr id="56" name="Retângulo: Cantos Superiores Arredondados 55">
            <a:extLst>
              <a:ext uri="{FF2B5EF4-FFF2-40B4-BE49-F238E27FC236}">
                <a16:creationId xmlns:a16="http://schemas.microsoft.com/office/drawing/2014/main" id="{89DD73FD-D45F-3F71-A906-3FE58F2EA1CA}"/>
              </a:ext>
            </a:extLst>
          </xdr:cNvPr>
          <xdr:cNvSpPr/>
        </xdr:nvSpPr>
        <xdr:spPr>
          <a:xfrm>
            <a:off x="13536706" y="3403252"/>
            <a:ext cx="4616458" cy="325384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</a:rPr>
              <a:t>TOTAL</a:t>
            </a:r>
            <a:r>
              <a:rPr lang="pt-BR" sz="1200" b="1" baseline="0">
                <a:solidFill>
                  <a:schemeClr val="bg1"/>
                </a:solidFill>
              </a:rPr>
              <a:t>  VALUE </a:t>
            </a:r>
          </a:p>
        </xdr:txBody>
      </xdr:sp>
      <xdr:pic>
        <xdr:nvPicPr>
          <xdr:cNvPr id="61" name="Imagem 60">
            <a:extLst>
              <a:ext uri="{FF2B5EF4-FFF2-40B4-BE49-F238E27FC236}">
                <a16:creationId xmlns:a16="http://schemas.microsoft.com/office/drawing/2014/main" id="{09AE6674-FA42-469A-97EB-D04F7A2F03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3817845" y="4201039"/>
            <a:ext cx="1500597" cy="461773"/>
          </a:xfrm>
          <a:prstGeom prst="rect">
            <a:avLst/>
          </a:prstGeom>
        </xdr:spPr>
      </xdr:pic>
    </xdr:grpSp>
    <xdr:clientData/>
  </xdr:twoCellAnchor>
  <xdr:twoCellAnchor>
    <xdr:from>
      <xdr:col>22</xdr:col>
      <xdr:colOff>0</xdr:colOff>
      <xdr:row>18</xdr:row>
      <xdr:rowOff>0</xdr:rowOff>
    </xdr:from>
    <xdr:to>
      <xdr:col>32</xdr:col>
      <xdr:colOff>0</xdr:colOff>
      <xdr:row>38</xdr:row>
      <xdr:rowOff>100853</xdr:rowOff>
    </xdr:to>
    <xdr:grpSp>
      <xdr:nvGrpSpPr>
        <xdr:cNvPr id="68" name="Agrupar 67">
          <a:extLst>
            <a:ext uri="{FF2B5EF4-FFF2-40B4-BE49-F238E27FC236}">
              <a16:creationId xmlns:a16="http://schemas.microsoft.com/office/drawing/2014/main" id="{7A7279E5-A287-E933-E0FF-471E1DE1C542}"/>
            </a:ext>
          </a:extLst>
        </xdr:cNvPr>
        <xdr:cNvGrpSpPr/>
      </xdr:nvGrpSpPr>
      <xdr:grpSpPr>
        <a:xfrm>
          <a:off x="14192250" y="3774281"/>
          <a:ext cx="6393656" cy="3910853"/>
          <a:chOff x="14287500" y="3782786"/>
          <a:chExt cx="6436179" cy="3910853"/>
        </a:xfrm>
      </xdr:grpSpPr>
      <xdr:grpSp>
        <xdr:nvGrpSpPr>
          <xdr:cNvPr id="66" name="Agrupar 65">
            <a:extLst>
              <a:ext uri="{FF2B5EF4-FFF2-40B4-BE49-F238E27FC236}">
                <a16:creationId xmlns:a16="http://schemas.microsoft.com/office/drawing/2014/main" id="{E16DBD92-A9D9-D02A-A039-F0DE7161A6E8}"/>
              </a:ext>
            </a:extLst>
          </xdr:cNvPr>
          <xdr:cNvGrpSpPr/>
        </xdr:nvGrpSpPr>
        <xdr:grpSpPr>
          <a:xfrm>
            <a:off x="14287500" y="3782786"/>
            <a:ext cx="6436179" cy="3910853"/>
            <a:chOff x="14287500" y="3782786"/>
            <a:chExt cx="6436179" cy="3910853"/>
          </a:xfrm>
        </xdr:grpSpPr>
        <xdr:sp macro="" textlink="">
          <xdr:nvSpPr>
            <xdr:cNvPr id="64" name="Retângulo: Cantos Arredondados 63">
              <a:extLst>
                <a:ext uri="{FF2B5EF4-FFF2-40B4-BE49-F238E27FC236}">
                  <a16:creationId xmlns:a16="http://schemas.microsoft.com/office/drawing/2014/main" id="{24D0BB4C-25B4-E785-739B-CD04041043F4}"/>
                </a:ext>
              </a:extLst>
            </xdr:cNvPr>
            <xdr:cNvSpPr/>
          </xdr:nvSpPr>
          <xdr:spPr>
            <a:xfrm>
              <a:off x="14287500" y="3883639"/>
              <a:ext cx="6436179" cy="3810000"/>
            </a:xfrm>
            <a:prstGeom prst="roundRect">
              <a:avLst>
                <a:gd name="adj" fmla="val 559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65" name="Retângulo: Cantos Superiores Arredondados 64">
              <a:extLst>
                <a:ext uri="{FF2B5EF4-FFF2-40B4-BE49-F238E27FC236}">
                  <a16:creationId xmlns:a16="http://schemas.microsoft.com/office/drawing/2014/main" id="{45612F99-AFE4-4322-B06C-44DAAD13982F}"/>
                </a:ext>
              </a:extLst>
            </xdr:cNvPr>
            <xdr:cNvSpPr/>
          </xdr:nvSpPr>
          <xdr:spPr>
            <a:xfrm>
              <a:off x="14287500" y="3782786"/>
              <a:ext cx="6436179" cy="428625"/>
            </a:xfrm>
            <a:prstGeom prst="round2SameRect">
              <a:avLst/>
            </a:prstGeom>
            <a:solidFill>
              <a:srgbClr val="5BF6A8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 b="1">
                  <a:solidFill>
                    <a:schemeClr val="bg1"/>
                  </a:solidFill>
                </a:rPr>
                <a:t>TOTAL</a:t>
              </a:r>
              <a:r>
                <a:rPr lang="pt-BR" sz="1200" b="1" baseline="0">
                  <a:solidFill>
                    <a:schemeClr val="bg1"/>
                  </a:solidFill>
                </a:rPr>
                <a:t> </a:t>
              </a:r>
              <a:r>
                <a:rPr lang="pt-BR" sz="1800" b="1" baseline="0">
                  <a:solidFill>
                    <a:schemeClr val="bg1"/>
                  </a:solidFill>
                </a:rPr>
                <a:t>VALUE</a:t>
              </a:r>
              <a:endParaRPr lang="pt-BR" sz="1200" b="1" baseline="0">
                <a:solidFill>
                  <a:schemeClr val="bg1"/>
                </a:solidFill>
              </a:endParaRPr>
            </a:p>
          </xdr:txBody>
        </xdr:sp>
      </xdr:grpSp>
      <xdr:graphicFrame macro="">
        <xdr:nvGraphicFramePr>
          <xdr:cNvPr id="63" name="Gráfico 62">
            <a:extLst>
              <a:ext uri="{FF2B5EF4-FFF2-40B4-BE49-F238E27FC236}">
                <a16:creationId xmlns:a16="http://schemas.microsoft.com/office/drawing/2014/main" id="{6DA7941F-294F-418E-8AED-F1766E356F4B}"/>
              </a:ext>
            </a:extLst>
          </xdr:cNvPr>
          <xdr:cNvGraphicFramePr>
            <a:graphicFrameLocks/>
          </xdr:cNvGraphicFramePr>
        </xdr:nvGraphicFramePr>
        <xdr:xfrm>
          <a:off x="14801850" y="4354286"/>
          <a:ext cx="5823857" cy="3238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 editAs="absolute">
    <xdr:from>
      <xdr:col>0</xdr:col>
      <xdr:colOff>432782</xdr:colOff>
      <xdr:row>6</xdr:row>
      <xdr:rowOff>207565</xdr:rowOff>
    </xdr:from>
    <xdr:to>
      <xdr:col>1</xdr:col>
      <xdr:colOff>353176</xdr:colOff>
      <xdr:row>8</xdr:row>
      <xdr:rowOff>56425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id="{3F0CD5E4-DB2F-4C9F-8062-868AD921F2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2439"/>
        <a:stretch>
          <a:fillRect/>
        </a:stretch>
      </xdr:blipFill>
      <xdr:spPr>
        <a:xfrm>
          <a:off x="432782" y="1474804"/>
          <a:ext cx="1494090" cy="46177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el Cunha" refreshedDate="46036.882320833334" createdVersion="8" refreshedVersion="8" minRefreshableVersion="3" recordCount="295" xr:uid="{0A628692-7E20-48C4-A6F0-3AC3D71FCEE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3971191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s v="Yes"/>
    <x v="0"/>
    <s v="Yes"/>
    <n v="20"/>
    <n v="5"/>
    <n v="60"/>
  </r>
  <r>
    <n v="3232"/>
    <s v="Maria Oliveira"/>
    <x v="1"/>
    <x v="1"/>
    <x v="1"/>
    <n v="5"/>
    <x v="1"/>
    <s v="No"/>
    <x v="1"/>
    <s v="No"/>
    <n v="0"/>
    <n v="0"/>
    <n v="5"/>
  </r>
  <r>
    <n v="3233"/>
    <s v="Lucas Fernandes"/>
    <x v="2"/>
    <x v="2"/>
    <x v="0"/>
    <n v="10"/>
    <x v="2"/>
    <s v="No"/>
    <x v="1"/>
    <s v="Yes"/>
    <n v="20"/>
    <n v="10"/>
    <n v="20"/>
  </r>
  <r>
    <n v="3234"/>
    <s v="Ana Souza"/>
    <x v="0"/>
    <x v="3"/>
    <x v="1"/>
    <n v="15"/>
    <x v="0"/>
    <s v="Yes"/>
    <x v="0"/>
    <s v="Yes"/>
    <n v="20"/>
    <n v="3"/>
    <n v="62"/>
  </r>
  <r>
    <n v="3235"/>
    <s v="Pedro Gonçalves"/>
    <x v="1"/>
    <x v="4"/>
    <x v="0"/>
    <n v="5"/>
    <x v="0"/>
    <s v="No"/>
    <x v="1"/>
    <s v="No"/>
    <n v="0"/>
    <n v="1"/>
    <n v="4"/>
  </r>
  <r>
    <n v="3236"/>
    <s v="Felipe Costa"/>
    <x v="2"/>
    <x v="5"/>
    <x v="1"/>
    <n v="10"/>
    <x v="0"/>
    <s v="No"/>
    <x v="1"/>
    <s v="Yes"/>
    <n v="20"/>
    <n v="2"/>
    <n v="28"/>
  </r>
  <r>
    <n v="3237"/>
    <s v="Camila Ribeiro"/>
    <x v="0"/>
    <x v="6"/>
    <x v="0"/>
    <n v="15"/>
    <x v="2"/>
    <s v="Yes"/>
    <x v="0"/>
    <s v="Yes"/>
    <n v="20"/>
    <n v="10"/>
    <n v="55"/>
  </r>
  <r>
    <n v="3238"/>
    <s v="André Mendes"/>
    <x v="1"/>
    <x v="7"/>
    <x v="0"/>
    <n v="5"/>
    <x v="1"/>
    <s v="No"/>
    <x v="1"/>
    <s v="No"/>
    <n v="0"/>
    <n v="0"/>
    <n v="5"/>
  </r>
  <r>
    <n v="3239"/>
    <s v="Sofia Almeida"/>
    <x v="0"/>
    <x v="4"/>
    <x v="1"/>
    <n v="15"/>
    <x v="0"/>
    <s v="Yes"/>
    <x v="0"/>
    <s v="Yes"/>
    <n v="20"/>
    <n v="5"/>
    <n v="60"/>
  </r>
  <r>
    <n v="3240"/>
    <s v="Bruno Martins"/>
    <x v="2"/>
    <x v="8"/>
    <x v="0"/>
    <n v="10"/>
    <x v="2"/>
    <s v="No"/>
    <x v="1"/>
    <s v="Yes"/>
    <n v="20"/>
    <n v="15"/>
    <n v="15"/>
  </r>
  <r>
    <n v="3241"/>
    <s v="Rita Castro"/>
    <x v="1"/>
    <x v="9"/>
    <x v="1"/>
    <n v="5"/>
    <x v="0"/>
    <s v="No"/>
    <x v="1"/>
    <s v="No"/>
    <n v="0"/>
    <n v="1"/>
    <n v="4"/>
  </r>
  <r>
    <n v="3242"/>
    <s v="Marco Túlio"/>
    <x v="0"/>
    <x v="10"/>
    <x v="0"/>
    <n v="15"/>
    <x v="1"/>
    <s v="Yes"/>
    <x v="0"/>
    <s v="Yes"/>
    <n v="20"/>
    <n v="20"/>
    <n v="45"/>
  </r>
  <r>
    <n v="3243"/>
    <s v="Lívia Silveira"/>
    <x v="2"/>
    <x v="11"/>
    <x v="1"/>
    <n v="10"/>
    <x v="0"/>
    <s v="No"/>
    <x v="1"/>
    <s v="Yes"/>
    <n v="20"/>
    <n v="10"/>
    <n v="20"/>
  </r>
  <r>
    <n v="3244"/>
    <s v="Diogo Sousa"/>
    <x v="1"/>
    <x v="12"/>
    <x v="0"/>
    <n v="5"/>
    <x v="2"/>
    <s v="No"/>
    <x v="1"/>
    <s v="No"/>
    <n v="0"/>
    <n v="0"/>
    <n v="5"/>
  </r>
  <r>
    <n v="3245"/>
    <s v="Fernanda Lima"/>
    <x v="0"/>
    <x v="13"/>
    <x v="1"/>
    <n v="15"/>
    <x v="0"/>
    <s v="Yes"/>
    <x v="0"/>
    <s v="Yes"/>
    <n v="20"/>
    <n v="8"/>
    <n v="57"/>
  </r>
  <r>
    <n v="3246"/>
    <s v="Caio Pereira"/>
    <x v="2"/>
    <x v="14"/>
    <x v="0"/>
    <n v="10"/>
    <x v="1"/>
    <s v="No"/>
    <x v="1"/>
    <s v="Yes"/>
    <n v="20"/>
    <n v="12"/>
    <n v="18"/>
  </r>
  <r>
    <n v="3247"/>
    <s v="Beatriz Gomes"/>
    <x v="1"/>
    <x v="15"/>
    <x v="1"/>
    <n v="5"/>
    <x v="0"/>
    <s v="No"/>
    <x v="1"/>
    <s v="No"/>
    <n v="0"/>
    <n v="2"/>
    <n v="3"/>
  </r>
  <r>
    <n v="3248"/>
    <s v="Cesar Oliveira"/>
    <x v="0"/>
    <x v="16"/>
    <x v="0"/>
    <n v="15"/>
    <x v="2"/>
    <s v="Yes"/>
    <x v="0"/>
    <s v="Yes"/>
    <n v="20"/>
    <n v="7"/>
    <n v="58"/>
  </r>
  <r>
    <n v="3249"/>
    <s v="Débora Machado"/>
    <x v="2"/>
    <x v="17"/>
    <x v="1"/>
    <n v="10"/>
    <x v="0"/>
    <s v="No"/>
    <x v="1"/>
    <s v="Yes"/>
    <n v="20"/>
    <n v="5"/>
    <n v="25"/>
  </r>
  <r>
    <n v="3250"/>
    <s v="Eduardo Vargas"/>
    <x v="1"/>
    <x v="18"/>
    <x v="0"/>
    <n v="5"/>
    <x v="1"/>
    <s v="No"/>
    <x v="1"/>
    <s v="No"/>
    <n v="0"/>
    <n v="0"/>
    <n v="5"/>
  </r>
  <r>
    <n v="3251"/>
    <s v="Gabriela Santos"/>
    <x v="0"/>
    <x v="19"/>
    <x v="1"/>
    <n v="15"/>
    <x v="0"/>
    <s v="Yes"/>
    <x v="0"/>
    <s v="Yes"/>
    <n v="20"/>
    <n v="3"/>
    <n v="62"/>
  </r>
  <r>
    <n v="3252"/>
    <s v="Henrique Dias"/>
    <x v="2"/>
    <x v="20"/>
    <x v="0"/>
    <n v="10"/>
    <x v="2"/>
    <s v="No"/>
    <x v="1"/>
    <s v="Yes"/>
    <n v="20"/>
    <n v="15"/>
    <n v="15"/>
  </r>
  <r>
    <n v="3253"/>
    <s v="Isabela Moreira"/>
    <x v="1"/>
    <x v="21"/>
    <x v="1"/>
    <n v="5"/>
    <x v="0"/>
    <s v="No"/>
    <x v="1"/>
    <s v="No"/>
    <n v="0"/>
    <n v="1"/>
    <n v="4"/>
  </r>
  <r>
    <n v="3254"/>
    <s v="Joaquim Barbosa"/>
    <x v="0"/>
    <x v="22"/>
    <x v="0"/>
    <n v="15"/>
    <x v="1"/>
    <s v="Yes"/>
    <x v="0"/>
    <s v="Yes"/>
    <n v="20"/>
    <n v="20"/>
    <n v="45"/>
  </r>
  <r>
    <n v="3255"/>
    <s v="Lara Rocha"/>
    <x v="2"/>
    <x v="23"/>
    <x v="1"/>
    <n v="10"/>
    <x v="0"/>
    <s v="No"/>
    <x v="1"/>
    <s v="Yes"/>
    <n v="20"/>
    <n v="10"/>
    <n v="20"/>
  </r>
  <r>
    <n v="3256"/>
    <s v="Matheus Silva"/>
    <x v="1"/>
    <x v="24"/>
    <x v="0"/>
    <n v="5"/>
    <x v="2"/>
    <s v="No"/>
    <x v="1"/>
    <s v="No"/>
    <n v="0"/>
    <n v="0"/>
    <n v="5"/>
  </r>
  <r>
    <n v="3257"/>
    <s v="Nicole Costa"/>
    <x v="0"/>
    <x v="25"/>
    <x v="1"/>
    <n v="15"/>
    <x v="0"/>
    <s v="Yes"/>
    <x v="0"/>
    <s v="Yes"/>
    <n v="20"/>
    <n v="5"/>
    <n v="60"/>
  </r>
  <r>
    <n v="3258"/>
    <s v="Otávio Mendonça"/>
    <x v="2"/>
    <x v="26"/>
    <x v="0"/>
    <n v="10"/>
    <x v="1"/>
    <s v="No"/>
    <x v="1"/>
    <s v="Yes"/>
    <n v="20"/>
    <n v="15"/>
    <n v="15"/>
  </r>
  <r>
    <n v="3259"/>
    <s v="Paula Ferreira"/>
    <x v="1"/>
    <x v="27"/>
    <x v="1"/>
    <n v="5"/>
    <x v="0"/>
    <s v="No"/>
    <x v="1"/>
    <s v="No"/>
    <n v="0"/>
    <n v="1"/>
    <n v="4"/>
  </r>
  <r>
    <n v="3260"/>
    <s v="Raquel Alves"/>
    <x v="0"/>
    <x v="28"/>
    <x v="0"/>
    <n v="15"/>
    <x v="2"/>
    <s v="Yes"/>
    <x v="0"/>
    <s v="Yes"/>
    <n v="20"/>
    <n v="7"/>
    <n v="58"/>
  </r>
  <r>
    <n v="3261"/>
    <s v="Samuel Pires"/>
    <x v="2"/>
    <x v="29"/>
    <x v="1"/>
    <n v="10"/>
    <x v="0"/>
    <s v="No"/>
    <x v="1"/>
    <s v="Yes"/>
    <n v="20"/>
    <n v="10"/>
    <n v="20"/>
  </r>
  <r>
    <n v="3262"/>
    <s v="Tânia Barros"/>
    <x v="1"/>
    <x v="30"/>
    <x v="0"/>
    <n v="5"/>
    <x v="1"/>
    <s v="No"/>
    <x v="1"/>
    <s v="No"/>
    <n v="0"/>
    <n v="0"/>
    <n v="5"/>
  </r>
  <r>
    <n v="3263"/>
    <s v="Vinicius Lima"/>
    <x v="0"/>
    <x v="31"/>
    <x v="1"/>
    <n v="15"/>
    <x v="0"/>
    <s v="Yes"/>
    <x v="0"/>
    <s v="Yes"/>
    <n v="20"/>
    <n v="3"/>
    <n v="62"/>
  </r>
  <r>
    <n v="3264"/>
    <s v="Yasmin Teixeira"/>
    <x v="2"/>
    <x v="32"/>
    <x v="0"/>
    <n v="10"/>
    <x v="2"/>
    <s v="No"/>
    <x v="1"/>
    <s v="Yes"/>
    <n v="20"/>
    <n v="15"/>
    <n v="15"/>
  </r>
  <r>
    <n v="3265"/>
    <s v="Zé Carlos"/>
    <x v="1"/>
    <x v="33"/>
    <x v="1"/>
    <n v="5"/>
    <x v="0"/>
    <s v="No"/>
    <x v="1"/>
    <s v="No"/>
    <n v="0"/>
    <n v="1"/>
    <n v="4"/>
  </r>
  <r>
    <n v="3266"/>
    <s v="Amanda Nogueira"/>
    <x v="1"/>
    <x v="34"/>
    <x v="0"/>
    <n v="5"/>
    <x v="0"/>
    <s v="No"/>
    <x v="1"/>
    <s v="No"/>
    <n v="0"/>
    <n v="0"/>
    <n v="5"/>
  </r>
  <r>
    <n v="3267"/>
    <s v="Bruno Cavalheiro"/>
    <x v="0"/>
    <x v="35"/>
    <x v="1"/>
    <n v="15"/>
    <x v="2"/>
    <s v="Yes"/>
    <x v="0"/>
    <s v="Yes"/>
    <n v="20"/>
    <n v="7"/>
    <n v="58"/>
  </r>
  <r>
    <n v="3268"/>
    <s v="Carla Dias"/>
    <x v="2"/>
    <x v="36"/>
    <x v="0"/>
    <n v="10"/>
    <x v="1"/>
    <s v="No"/>
    <x v="1"/>
    <s v="Yes"/>
    <n v="20"/>
    <n v="10"/>
    <n v="20"/>
  </r>
  <r>
    <n v="3269"/>
    <s v="Diego Fontes"/>
    <x v="1"/>
    <x v="37"/>
    <x v="1"/>
    <n v="5"/>
    <x v="2"/>
    <s v="No"/>
    <x v="1"/>
    <s v="No"/>
    <n v="0"/>
    <n v="1"/>
    <n v="4"/>
  </r>
  <r>
    <n v="3270"/>
    <s v="Eunice Lima"/>
    <x v="0"/>
    <x v="38"/>
    <x v="0"/>
    <n v="15"/>
    <x v="0"/>
    <s v="Yes"/>
    <x v="0"/>
    <s v="Yes"/>
    <n v="20"/>
    <n v="15"/>
    <n v="50"/>
  </r>
  <r>
    <n v="3271"/>
    <s v="Fábio Martins"/>
    <x v="2"/>
    <x v="39"/>
    <x v="1"/>
    <n v="10"/>
    <x v="0"/>
    <s v="No"/>
    <x v="1"/>
    <s v="Yes"/>
    <n v="20"/>
    <n v="5"/>
    <n v="25"/>
  </r>
  <r>
    <n v="3272"/>
    <s v="Gisele Araújo"/>
    <x v="1"/>
    <x v="40"/>
    <x v="0"/>
    <n v="5"/>
    <x v="1"/>
    <s v="No"/>
    <x v="1"/>
    <s v="No"/>
    <n v="0"/>
    <n v="0"/>
    <n v="5"/>
  </r>
  <r>
    <n v="3273"/>
    <s v="Hélio Castro"/>
    <x v="0"/>
    <x v="41"/>
    <x v="1"/>
    <n v="15"/>
    <x v="2"/>
    <s v="Yes"/>
    <x v="0"/>
    <s v="Yes"/>
    <n v="20"/>
    <n v="20"/>
    <n v="45"/>
  </r>
  <r>
    <n v="3274"/>
    <s v="Ingrid Menezes"/>
    <x v="2"/>
    <x v="42"/>
    <x v="0"/>
    <n v="10"/>
    <x v="2"/>
    <s v="No"/>
    <x v="1"/>
    <s v="Yes"/>
    <n v="20"/>
    <n v="12"/>
    <n v="18"/>
  </r>
  <r>
    <n v="3275"/>
    <s v="Jorge Baptista"/>
    <x v="1"/>
    <x v="43"/>
    <x v="1"/>
    <n v="5"/>
    <x v="0"/>
    <s v="No"/>
    <x v="1"/>
    <s v="No"/>
    <n v="0"/>
    <n v="2"/>
    <n v="3"/>
  </r>
  <r>
    <n v="3276"/>
    <s v="Kléber Oliveira"/>
    <x v="0"/>
    <x v="44"/>
    <x v="0"/>
    <n v="15"/>
    <x v="1"/>
    <s v="Yes"/>
    <x v="0"/>
    <s v="Yes"/>
    <n v="20"/>
    <n v="5"/>
    <n v="60"/>
  </r>
  <r>
    <n v="3277"/>
    <s v="Luciana Freitas"/>
    <x v="2"/>
    <x v="45"/>
    <x v="1"/>
    <n v="10"/>
    <x v="0"/>
    <s v="No"/>
    <x v="1"/>
    <s v="Yes"/>
    <n v="20"/>
    <n v="10"/>
    <n v="20"/>
  </r>
  <r>
    <n v="3278"/>
    <s v="Márcia Eller"/>
    <x v="1"/>
    <x v="46"/>
    <x v="0"/>
    <n v="5"/>
    <x v="2"/>
    <s v="No"/>
    <x v="1"/>
    <s v="No"/>
    <n v="0"/>
    <n v="0"/>
    <n v="5"/>
  </r>
  <r>
    <n v="3279"/>
    <s v="Nilo Peçanha"/>
    <x v="0"/>
    <x v="47"/>
    <x v="1"/>
    <n v="15"/>
    <x v="0"/>
    <s v="Yes"/>
    <x v="0"/>
    <s v="Yes"/>
    <n v="20"/>
    <n v="3"/>
    <n v="62"/>
  </r>
  <r>
    <n v="3280"/>
    <s v="Oscar Neves"/>
    <x v="2"/>
    <x v="48"/>
    <x v="0"/>
    <n v="10"/>
    <x v="1"/>
    <s v="No"/>
    <x v="1"/>
    <s v="Yes"/>
    <n v="20"/>
    <n v="15"/>
    <n v="15"/>
  </r>
  <r>
    <n v="3281"/>
    <s v="Patrícia Soares"/>
    <x v="1"/>
    <x v="49"/>
    <x v="1"/>
    <n v="5"/>
    <x v="0"/>
    <s v="No"/>
    <x v="1"/>
    <s v="No"/>
    <n v="0"/>
    <n v="1"/>
    <n v="4"/>
  </r>
  <r>
    <n v="3282"/>
    <s v="Quirino Gonçalves"/>
    <x v="0"/>
    <x v="50"/>
    <x v="0"/>
    <n v="15"/>
    <x v="2"/>
    <s v="Yes"/>
    <x v="0"/>
    <s v="Yes"/>
    <n v="20"/>
    <n v="7"/>
    <n v="58"/>
  </r>
  <r>
    <n v="3283"/>
    <s v="Raul Machado"/>
    <x v="2"/>
    <x v="51"/>
    <x v="1"/>
    <n v="10"/>
    <x v="0"/>
    <s v="No"/>
    <x v="1"/>
    <s v="Yes"/>
    <n v="20"/>
    <n v="10"/>
    <n v="20"/>
  </r>
  <r>
    <n v="3284"/>
    <s v="Sônia Lobo"/>
    <x v="1"/>
    <x v="52"/>
    <x v="0"/>
    <n v="5"/>
    <x v="1"/>
    <s v="No"/>
    <x v="1"/>
    <s v="No"/>
    <n v="0"/>
    <n v="0"/>
    <n v="5"/>
  </r>
  <r>
    <n v="3285"/>
    <s v="Tiago Ramos"/>
    <x v="0"/>
    <x v="53"/>
    <x v="1"/>
    <n v="15"/>
    <x v="0"/>
    <s v="Yes"/>
    <x v="0"/>
    <s v="Yes"/>
    <n v="20"/>
    <n v="20"/>
    <n v="45"/>
  </r>
  <r>
    <n v="3286"/>
    <s v="Ugo Pires"/>
    <x v="2"/>
    <x v="54"/>
    <x v="0"/>
    <n v="10"/>
    <x v="2"/>
    <s v="No"/>
    <x v="1"/>
    <s v="Yes"/>
    <n v="20"/>
    <n v="15"/>
    <n v="15"/>
  </r>
  <r>
    <n v="3287"/>
    <s v="Valéria Nobre"/>
    <x v="1"/>
    <x v="55"/>
    <x v="1"/>
    <n v="5"/>
    <x v="0"/>
    <s v="No"/>
    <x v="1"/>
    <s v="No"/>
    <n v="0"/>
    <n v="1"/>
    <n v="4"/>
  </r>
  <r>
    <n v="3288"/>
    <s v="William Siqueira"/>
    <x v="0"/>
    <x v="56"/>
    <x v="0"/>
    <n v="15"/>
    <x v="1"/>
    <s v="Yes"/>
    <x v="0"/>
    <s v="Yes"/>
    <n v="20"/>
    <n v="3"/>
    <n v="62"/>
  </r>
  <r>
    <n v="3289"/>
    <s v="Xuxa Meneghel"/>
    <x v="2"/>
    <x v="57"/>
    <x v="1"/>
    <n v="10"/>
    <x v="0"/>
    <s v="No"/>
    <x v="1"/>
    <s v="Yes"/>
    <n v="20"/>
    <n v="10"/>
    <n v="20"/>
  </r>
  <r>
    <n v="3290"/>
    <s v="Yara Figueiredo"/>
    <x v="1"/>
    <x v="58"/>
    <x v="0"/>
    <n v="5"/>
    <x v="2"/>
    <s v="No"/>
    <x v="1"/>
    <s v="No"/>
    <n v="0"/>
    <n v="0"/>
    <n v="5"/>
  </r>
  <r>
    <n v="3291"/>
    <s v="Zacarias Alves"/>
    <x v="0"/>
    <x v="59"/>
    <x v="1"/>
    <n v="15"/>
    <x v="0"/>
    <s v="Yes"/>
    <x v="0"/>
    <s v="Yes"/>
    <n v="20"/>
    <n v="5"/>
    <n v="60"/>
  </r>
  <r>
    <n v="3292"/>
    <s v="Amanda Bynes"/>
    <x v="2"/>
    <x v="60"/>
    <x v="0"/>
    <n v="10"/>
    <x v="1"/>
    <s v="No"/>
    <x v="1"/>
    <s v="Yes"/>
    <n v="20"/>
    <n v="15"/>
    <n v="15"/>
  </r>
  <r>
    <n v="3293"/>
    <s v="Bruno Mars"/>
    <x v="1"/>
    <x v="61"/>
    <x v="1"/>
    <n v="5"/>
    <x v="0"/>
    <s v="No"/>
    <x v="1"/>
    <s v="No"/>
    <n v="0"/>
    <n v="1"/>
    <n v="4"/>
  </r>
  <r>
    <n v="3294"/>
    <s v="Carla Bruni"/>
    <x v="0"/>
    <x v="62"/>
    <x v="0"/>
    <n v="15"/>
    <x v="2"/>
    <s v="Yes"/>
    <x v="0"/>
    <s v="Yes"/>
    <n v="20"/>
    <n v="20"/>
    <n v="45"/>
  </r>
  <r>
    <n v="3295"/>
    <s v="Diego Maradona"/>
    <x v="2"/>
    <x v="63"/>
    <x v="1"/>
    <n v="10"/>
    <x v="0"/>
    <s v="No"/>
    <x v="1"/>
    <s v="Yes"/>
    <n v="20"/>
    <n v="5"/>
    <n v="25"/>
  </r>
  <r>
    <n v="3296"/>
    <s v="Estela Marques"/>
    <x v="1"/>
    <x v="64"/>
    <x v="1"/>
    <n v="5"/>
    <x v="0"/>
    <s v="No"/>
    <x v="1"/>
    <s v="No"/>
    <n v="0"/>
    <n v="0"/>
    <n v="5"/>
  </r>
  <r>
    <n v="3297"/>
    <s v="Fábio Nobre"/>
    <x v="0"/>
    <x v="65"/>
    <x v="0"/>
    <n v="15"/>
    <x v="2"/>
    <s v="Yes"/>
    <x v="0"/>
    <s v="Yes"/>
    <n v="20"/>
    <n v="7"/>
    <n v="58"/>
  </r>
  <r>
    <n v="3298"/>
    <s v="Gabriel Oliveira"/>
    <x v="2"/>
    <x v="66"/>
    <x v="1"/>
    <n v="10"/>
    <x v="1"/>
    <s v="No"/>
    <x v="1"/>
    <s v="Yes"/>
    <n v="20"/>
    <n v="10"/>
    <n v="20"/>
  </r>
  <r>
    <n v="3299"/>
    <s v="Helena Santos"/>
    <x v="1"/>
    <x v="67"/>
    <x v="0"/>
    <n v="5"/>
    <x v="2"/>
    <s v="No"/>
    <x v="1"/>
    <s v="No"/>
    <n v="0"/>
    <n v="1"/>
    <n v="4"/>
  </r>
  <r>
    <n v="3300"/>
    <s v="Ivan Carvalho"/>
    <x v="0"/>
    <x v="68"/>
    <x v="1"/>
    <n v="15"/>
    <x v="0"/>
    <s v="Yes"/>
    <x v="0"/>
    <s v="Yes"/>
    <n v="20"/>
    <n v="15"/>
    <n v="50"/>
  </r>
  <r>
    <n v="3301"/>
    <s v="Júlia Ferreira"/>
    <x v="2"/>
    <x v="69"/>
    <x v="0"/>
    <n v="10"/>
    <x v="0"/>
    <s v="No"/>
    <x v="1"/>
    <s v="Yes"/>
    <n v="20"/>
    <n v="5"/>
    <n v="25"/>
  </r>
  <r>
    <n v="3302"/>
    <s v="Karla Alves"/>
    <x v="1"/>
    <x v="70"/>
    <x v="1"/>
    <n v="5"/>
    <x v="1"/>
    <s v="No"/>
    <x v="1"/>
    <s v="No"/>
    <n v="0"/>
    <n v="0"/>
    <n v="5"/>
  </r>
  <r>
    <n v="3303"/>
    <s v="Lucas Mendes"/>
    <x v="0"/>
    <x v="71"/>
    <x v="0"/>
    <n v="15"/>
    <x v="2"/>
    <s v="Yes"/>
    <x v="0"/>
    <s v="Yes"/>
    <n v="20"/>
    <n v="20"/>
    <n v="45"/>
  </r>
  <r>
    <n v="3304"/>
    <s v="Mônica Gomes"/>
    <x v="2"/>
    <x v="72"/>
    <x v="1"/>
    <n v="10"/>
    <x v="2"/>
    <s v="No"/>
    <x v="1"/>
    <s v="Yes"/>
    <n v="20"/>
    <n v="12"/>
    <n v="18"/>
  </r>
  <r>
    <n v="3305"/>
    <s v="Norberto Queiroz"/>
    <x v="1"/>
    <x v="73"/>
    <x v="0"/>
    <n v="5"/>
    <x v="0"/>
    <s v="No"/>
    <x v="1"/>
    <s v="No"/>
    <n v="0"/>
    <n v="2"/>
    <n v="3"/>
  </r>
  <r>
    <n v="3306"/>
    <s v="Otávio Barros"/>
    <x v="0"/>
    <x v="74"/>
    <x v="1"/>
    <n v="15"/>
    <x v="1"/>
    <s v="Yes"/>
    <x v="0"/>
    <s v="Yes"/>
    <n v="20"/>
    <n v="5"/>
    <n v="60"/>
  </r>
  <r>
    <n v="3307"/>
    <s v="Paula Vieira"/>
    <x v="2"/>
    <x v="75"/>
    <x v="0"/>
    <n v="10"/>
    <x v="0"/>
    <s v="No"/>
    <x v="1"/>
    <s v="Yes"/>
    <n v="20"/>
    <n v="10"/>
    <n v="20"/>
  </r>
  <r>
    <n v="3308"/>
    <s v="Quentin Ramos"/>
    <x v="1"/>
    <x v="76"/>
    <x v="1"/>
    <n v="5"/>
    <x v="2"/>
    <s v="No"/>
    <x v="1"/>
    <s v="No"/>
    <n v="0"/>
    <n v="0"/>
    <n v="5"/>
  </r>
  <r>
    <n v="3309"/>
    <s v="Raquel Novaes"/>
    <x v="0"/>
    <x v="77"/>
    <x v="0"/>
    <n v="15"/>
    <x v="0"/>
    <s v="Yes"/>
    <x v="0"/>
    <s v="Yes"/>
    <n v="20"/>
    <n v="3"/>
    <n v="62"/>
  </r>
  <r>
    <n v="3310"/>
    <s v="Samantha Lopes"/>
    <x v="2"/>
    <x v="78"/>
    <x v="1"/>
    <n v="10"/>
    <x v="1"/>
    <s v="No"/>
    <x v="1"/>
    <s v="Yes"/>
    <n v="20"/>
    <n v="15"/>
    <n v="15"/>
  </r>
  <r>
    <n v="3311"/>
    <s v="Tiago Martins"/>
    <x v="1"/>
    <x v="79"/>
    <x v="0"/>
    <n v="5"/>
    <x v="0"/>
    <s v="No"/>
    <x v="1"/>
    <s v="No"/>
    <n v="0"/>
    <n v="1"/>
    <n v="4"/>
  </r>
  <r>
    <n v="3312"/>
    <s v="Ulysses Guimarães"/>
    <x v="0"/>
    <x v="80"/>
    <x v="1"/>
    <n v="15"/>
    <x v="2"/>
    <s v="Yes"/>
    <x v="0"/>
    <s v="Yes"/>
    <n v="20"/>
    <n v="7"/>
    <n v="58"/>
  </r>
  <r>
    <n v="3313"/>
    <s v="Vanessa Silva"/>
    <x v="2"/>
    <x v="81"/>
    <x v="0"/>
    <n v="10"/>
    <x v="0"/>
    <s v="No"/>
    <x v="1"/>
    <s v="Yes"/>
    <n v="20"/>
    <n v="10"/>
    <n v="20"/>
  </r>
  <r>
    <n v="3314"/>
    <s v="William Carneiro"/>
    <x v="1"/>
    <x v="82"/>
    <x v="1"/>
    <n v="5"/>
    <x v="1"/>
    <s v="No"/>
    <x v="1"/>
    <s v="No"/>
    <n v="0"/>
    <n v="0"/>
    <n v="5"/>
  </r>
  <r>
    <n v="3315"/>
    <s v="Ximena Rocha"/>
    <x v="0"/>
    <x v="83"/>
    <x v="0"/>
    <n v="15"/>
    <x v="0"/>
    <s v="Yes"/>
    <x v="0"/>
    <s v="Yes"/>
    <n v="20"/>
    <n v="20"/>
    <n v="45"/>
  </r>
  <r>
    <n v="3316"/>
    <s v="Yasmin Figueiredo"/>
    <x v="2"/>
    <x v="84"/>
    <x v="1"/>
    <n v="10"/>
    <x v="2"/>
    <s v="No"/>
    <x v="1"/>
    <s v="Yes"/>
    <n v="20"/>
    <n v="15"/>
    <n v="15"/>
  </r>
  <r>
    <n v="3317"/>
    <s v="Zara Cunha"/>
    <x v="1"/>
    <x v="85"/>
    <x v="0"/>
    <n v="5"/>
    <x v="0"/>
    <s v="No"/>
    <x v="1"/>
    <s v="No"/>
    <n v="0"/>
    <n v="1"/>
    <n v="4"/>
  </r>
  <r>
    <n v="3318"/>
    <s v="Alan Teixeira"/>
    <x v="0"/>
    <x v="86"/>
    <x v="1"/>
    <n v="15"/>
    <x v="1"/>
    <s v="Yes"/>
    <x v="0"/>
    <s v="Yes"/>
    <n v="20"/>
    <n v="3"/>
    <n v="62"/>
  </r>
  <r>
    <n v="3319"/>
    <s v="Bárbara Oliveira"/>
    <x v="2"/>
    <x v="87"/>
    <x v="0"/>
    <n v="10"/>
    <x v="0"/>
    <s v="No"/>
    <x v="1"/>
    <s v="Yes"/>
    <n v="20"/>
    <n v="10"/>
    <n v="20"/>
  </r>
  <r>
    <n v="3320"/>
    <s v="Carlos Junqueira"/>
    <x v="1"/>
    <x v="88"/>
    <x v="1"/>
    <n v="5"/>
    <x v="2"/>
    <s v="No"/>
    <x v="1"/>
    <s v="No"/>
    <n v="0"/>
    <n v="0"/>
    <n v="5"/>
  </r>
  <r>
    <n v="3321"/>
    <s v="Daniela Moura"/>
    <x v="0"/>
    <x v="89"/>
    <x v="0"/>
    <n v="15"/>
    <x v="0"/>
    <s v="Yes"/>
    <x v="0"/>
    <s v="Yes"/>
    <n v="20"/>
    <n v="5"/>
    <n v="60"/>
  </r>
  <r>
    <n v="3322"/>
    <s v="Eduardo Lima"/>
    <x v="2"/>
    <x v="90"/>
    <x v="1"/>
    <n v="10"/>
    <x v="1"/>
    <s v="No"/>
    <x v="1"/>
    <s v="Yes"/>
    <n v="20"/>
    <n v="15"/>
    <n v="15"/>
  </r>
  <r>
    <n v="3323"/>
    <s v="Fabiana Araújo"/>
    <x v="1"/>
    <x v="91"/>
    <x v="0"/>
    <n v="5"/>
    <x v="0"/>
    <s v="No"/>
    <x v="1"/>
    <s v="No"/>
    <n v="0"/>
    <n v="1"/>
    <n v="4"/>
  </r>
  <r>
    <n v="3324"/>
    <s v="Geraldo Ribeiro"/>
    <x v="0"/>
    <x v="92"/>
    <x v="1"/>
    <n v="15"/>
    <x v="2"/>
    <s v="Yes"/>
    <x v="0"/>
    <s v="Yes"/>
    <n v="20"/>
    <n v="20"/>
    <n v="45"/>
  </r>
  <r>
    <n v="3325"/>
    <s v="Héctor Vargas"/>
    <x v="2"/>
    <x v="93"/>
    <x v="0"/>
    <n v="10"/>
    <x v="2"/>
    <s v="No"/>
    <x v="1"/>
    <s v="Yes"/>
    <n v="20"/>
    <n v="15"/>
    <n v="15"/>
  </r>
  <r>
    <n v="3326"/>
    <s v="Isabela Fonseca"/>
    <x v="1"/>
    <x v="94"/>
    <x v="1"/>
    <n v="5"/>
    <x v="1"/>
    <s v="No"/>
    <x v="1"/>
    <s v="No"/>
    <n v="0"/>
    <n v="0"/>
    <n v="5"/>
  </r>
  <r>
    <n v="3327"/>
    <s v="João Pedro Almeida"/>
    <x v="0"/>
    <x v="95"/>
    <x v="0"/>
    <n v="15"/>
    <x v="0"/>
    <s v="Yes"/>
    <x v="0"/>
    <s v="Yes"/>
    <n v="20"/>
    <n v="7"/>
    <n v="58"/>
  </r>
  <r>
    <n v="3328"/>
    <s v="Klara Costa"/>
    <x v="2"/>
    <x v="96"/>
    <x v="1"/>
    <n v="10"/>
    <x v="1"/>
    <s v="No"/>
    <x v="1"/>
    <s v="Yes"/>
    <n v="20"/>
    <n v="10"/>
    <n v="20"/>
  </r>
  <r>
    <n v="3329"/>
    <s v="Luciana Mendes"/>
    <x v="1"/>
    <x v="97"/>
    <x v="0"/>
    <n v="5"/>
    <x v="2"/>
    <s v="No"/>
    <x v="1"/>
    <s v="No"/>
    <n v="0"/>
    <n v="1"/>
    <n v="4"/>
  </r>
  <r>
    <n v="3330"/>
    <s v="Marcelo Gouveia"/>
    <x v="0"/>
    <x v="98"/>
    <x v="1"/>
    <n v="15"/>
    <x v="0"/>
    <s v="Yes"/>
    <x v="0"/>
    <s v="Yes"/>
    <n v="20"/>
    <n v="15"/>
    <n v="50"/>
  </r>
  <r>
    <n v="3331"/>
    <s v="Nívea Borges"/>
    <x v="2"/>
    <x v="99"/>
    <x v="0"/>
    <n v="10"/>
    <x v="0"/>
    <s v="No"/>
    <x v="1"/>
    <s v="Yes"/>
    <n v="20"/>
    <n v="5"/>
    <n v="25"/>
  </r>
  <r>
    <n v="3332"/>
    <s v="Oscar Nogueira"/>
    <x v="1"/>
    <x v="100"/>
    <x v="1"/>
    <n v="5"/>
    <x v="1"/>
    <s v="No"/>
    <x v="1"/>
    <s v="No"/>
    <n v="0"/>
    <n v="0"/>
    <n v="5"/>
  </r>
  <r>
    <n v="3333"/>
    <s v="Patrícia Alves"/>
    <x v="0"/>
    <x v="101"/>
    <x v="0"/>
    <n v="15"/>
    <x v="2"/>
    <s v="Yes"/>
    <x v="0"/>
    <s v="Yes"/>
    <n v="20"/>
    <n v="20"/>
    <n v="45"/>
  </r>
  <r>
    <n v="3334"/>
    <s v="Rafaela Silva"/>
    <x v="2"/>
    <x v="102"/>
    <x v="1"/>
    <n v="10"/>
    <x v="2"/>
    <s v="No"/>
    <x v="1"/>
    <s v="Yes"/>
    <n v="20"/>
    <n v="12"/>
    <n v="18"/>
  </r>
  <r>
    <n v="3335"/>
    <s v="Samantha Moraes"/>
    <x v="1"/>
    <x v="103"/>
    <x v="0"/>
    <n v="5"/>
    <x v="0"/>
    <s v="No"/>
    <x v="1"/>
    <s v="No"/>
    <n v="0"/>
    <n v="2"/>
    <n v="3"/>
  </r>
  <r>
    <n v="3336"/>
    <s v="Tatiana Rocha"/>
    <x v="1"/>
    <x v="104"/>
    <x v="0"/>
    <n v="5"/>
    <x v="0"/>
    <s v="No"/>
    <x v="1"/>
    <s v="No"/>
    <n v="0"/>
    <n v="0"/>
    <n v="5"/>
  </r>
  <r>
    <n v="3337"/>
    <s v="Ulisses Tavares"/>
    <x v="0"/>
    <x v="105"/>
    <x v="1"/>
    <n v="15"/>
    <x v="2"/>
    <s v="Yes"/>
    <x v="0"/>
    <s v="Yes"/>
    <n v="20"/>
    <n v="7"/>
    <n v="58"/>
  </r>
  <r>
    <n v="3338"/>
    <s v="Víctor Lemos"/>
    <x v="2"/>
    <x v="106"/>
    <x v="0"/>
    <n v="10"/>
    <x v="1"/>
    <s v="No"/>
    <x v="1"/>
    <s v="Yes"/>
    <n v="20"/>
    <n v="10"/>
    <n v="20"/>
  </r>
  <r>
    <n v="3339"/>
    <s v="Wilma Barros"/>
    <x v="1"/>
    <x v="107"/>
    <x v="1"/>
    <n v="5"/>
    <x v="2"/>
    <s v="No"/>
    <x v="1"/>
    <s v="No"/>
    <n v="0"/>
    <n v="1"/>
    <n v="4"/>
  </r>
  <r>
    <n v="3340"/>
    <s v="Xavier Nascimento"/>
    <x v="0"/>
    <x v="108"/>
    <x v="0"/>
    <n v="15"/>
    <x v="0"/>
    <s v="Yes"/>
    <x v="0"/>
    <s v="Yes"/>
    <n v="20"/>
    <n v="15"/>
    <n v="50"/>
  </r>
  <r>
    <n v="3341"/>
    <s v="Yago Pereira"/>
    <x v="2"/>
    <x v="109"/>
    <x v="1"/>
    <n v="10"/>
    <x v="0"/>
    <s v="No"/>
    <x v="1"/>
    <s v="Yes"/>
    <n v="20"/>
    <n v="5"/>
    <n v="25"/>
  </r>
  <r>
    <n v="3342"/>
    <s v="Zilda Ferreira"/>
    <x v="1"/>
    <x v="110"/>
    <x v="0"/>
    <n v="5"/>
    <x v="1"/>
    <s v="No"/>
    <x v="1"/>
    <s v="No"/>
    <n v="0"/>
    <n v="0"/>
    <n v="5"/>
  </r>
  <r>
    <n v="3343"/>
    <s v="Amanda Lopes"/>
    <x v="0"/>
    <x v="111"/>
    <x v="1"/>
    <n v="15"/>
    <x v="2"/>
    <s v="Yes"/>
    <x v="0"/>
    <s v="Yes"/>
    <n v="20"/>
    <n v="20"/>
    <n v="45"/>
  </r>
  <r>
    <n v="3344"/>
    <s v="Bruno Miranda"/>
    <x v="2"/>
    <x v="112"/>
    <x v="0"/>
    <n v="10"/>
    <x v="2"/>
    <s v="No"/>
    <x v="1"/>
    <s v="Yes"/>
    <n v="20"/>
    <n v="12"/>
    <n v="18"/>
  </r>
  <r>
    <n v="3345"/>
    <s v="Célia Torres"/>
    <x v="1"/>
    <x v="113"/>
    <x v="1"/>
    <n v="5"/>
    <x v="0"/>
    <s v="No"/>
    <x v="1"/>
    <s v="No"/>
    <n v="0"/>
    <n v="2"/>
    <n v="3"/>
  </r>
  <r>
    <n v="3346"/>
    <s v="Diogo Souza"/>
    <x v="0"/>
    <x v="114"/>
    <x v="0"/>
    <n v="15"/>
    <x v="1"/>
    <s v="Yes"/>
    <x v="0"/>
    <s v="Yes"/>
    <n v="20"/>
    <n v="5"/>
    <n v="60"/>
  </r>
  <r>
    <n v="3347"/>
    <s v="Elisa Castro"/>
    <x v="2"/>
    <x v="115"/>
    <x v="1"/>
    <n v="10"/>
    <x v="0"/>
    <s v="No"/>
    <x v="1"/>
    <s v="Yes"/>
    <n v="20"/>
    <n v="10"/>
    <n v="20"/>
  </r>
  <r>
    <n v="3348"/>
    <s v="Fátima Lima"/>
    <x v="1"/>
    <x v="116"/>
    <x v="0"/>
    <n v="5"/>
    <x v="2"/>
    <s v="No"/>
    <x v="1"/>
    <s v="No"/>
    <n v="0"/>
    <n v="0"/>
    <n v="5"/>
  </r>
  <r>
    <n v="3349"/>
    <s v="Geraldo Ribeiro"/>
    <x v="0"/>
    <x v="117"/>
    <x v="1"/>
    <n v="15"/>
    <x v="0"/>
    <s v="Yes"/>
    <x v="0"/>
    <s v="Yes"/>
    <n v="20"/>
    <n v="3"/>
    <n v="62"/>
  </r>
  <r>
    <n v="3350"/>
    <s v="Hélio Martins"/>
    <x v="2"/>
    <x v="118"/>
    <x v="0"/>
    <n v="10"/>
    <x v="1"/>
    <s v="No"/>
    <x v="1"/>
    <s v="Yes"/>
    <n v="20"/>
    <n v="15"/>
    <n v="15"/>
  </r>
  <r>
    <n v="3351"/>
    <s v="Íris Santos"/>
    <x v="1"/>
    <x v="119"/>
    <x v="1"/>
    <n v="5"/>
    <x v="0"/>
    <s v="No"/>
    <x v="1"/>
    <s v="No"/>
    <n v="0"/>
    <n v="1"/>
    <n v="4"/>
  </r>
  <r>
    <n v="3352"/>
    <s v="João Marcelo"/>
    <x v="0"/>
    <x v="120"/>
    <x v="0"/>
    <n v="15"/>
    <x v="2"/>
    <s v="Yes"/>
    <x v="0"/>
    <s v="Yes"/>
    <n v="20"/>
    <n v="7"/>
    <n v="58"/>
  </r>
  <r>
    <n v="3353"/>
    <s v="Larissa Gomes"/>
    <x v="2"/>
    <x v="121"/>
    <x v="1"/>
    <n v="10"/>
    <x v="0"/>
    <s v="No"/>
    <x v="1"/>
    <s v="Yes"/>
    <n v="20"/>
    <n v="10"/>
    <n v="20"/>
  </r>
  <r>
    <n v="3354"/>
    <s v="Márcio Silva"/>
    <x v="1"/>
    <x v="122"/>
    <x v="0"/>
    <n v="5"/>
    <x v="1"/>
    <s v="No"/>
    <x v="1"/>
    <s v="No"/>
    <n v="0"/>
    <n v="0"/>
    <n v="5"/>
  </r>
  <r>
    <n v="3355"/>
    <s v="Nadia Costa"/>
    <x v="0"/>
    <x v="123"/>
    <x v="1"/>
    <n v="15"/>
    <x v="0"/>
    <s v="Yes"/>
    <x v="0"/>
    <s v="Yes"/>
    <n v="20"/>
    <n v="20"/>
    <n v="45"/>
  </r>
  <r>
    <n v="3356"/>
    <s v="Oscar Almeida"/>
    <x v="2"/>
    <x v="124"/>
    <x v="0"/>
    <n v="10"/>
    <x v="2"/>
    <s v="No"/>
    <x v="1"/>
    <s v="Yes"/>
    <n v="20"/>
    <n v="15"/>
    <n v="15"/>
  </r>
  <r>
    <n v="3357"/>
    <s v="Patricia Soares"/>
    <x v="1"/>
    <x v="125"/>
    <x v="1"/>
    <n v="5"/>
    <x v="0"/>
    <s v="No"/>
    <x v="1"/>
    <s v="No"/>
    <n v="0"/>
    <n v="1"/>
    <n v="4"/>
  </r>
  <r>
    <n v="3358"/>
    <s v="Quênia Barros"/>
    <x v="0"/>
    <x v="126"/>
    <x v="0"/>
    <n v="15"/>
    <x v="1"/>
    <s v="Yes"/>
    <x v="0"/>
    <s v="Yes"/>
    <n v="20"/>
    <n v="3"/>
    <n v="62"/>
  </r>
  <r>
    <n v="3359"/>
    <s v="Rafael Torres"/>
    <x v="2"/>
    <x v="127"/>
    <x v="1"/>
    <n v="10"/>
    <x v="0"/>
    <s v="No"/>
    <x v="1"/>
    <s v="Yes"/>
    <n v="20"/>
    <n v="10"/>
    <n v="20"/>
  </r>
  <r>
    <n v="3360"/>
    <s v="Silvia Nascimento"/>
    <x v="1"/>
    <x v="128"/>
    <x v="0"/>
    <n v="5"/>
    <x v="2"/>
    <s v="No"/>
    <x v="1"/>
    <s v="No"/>
    <n v="0"/>
    <n v="0"/>
    <n v="5"/>
  </r>
  <r>
    <n v="3361"/>
    <s v="Tiago Mendes"/>
    <x v="0"/>
    <x v="129"/>
    <x v="1"/>
    <n v="15"/>
    <x v="0"/>
    <s v="Yes"/>
    <x v="0"/>
    <s v="Yes"/>
    <n v="20"/>
    <n v="15"/>
    <n v="50"/>
  </r>
  <r>
    <n v="3362"/>
    <s v="Ursula Silva"/>
    <x v="2"/>
    <x v="130"/>
    <x v="0"/>
    <n v="10"/>
    <x v="1"/>
    <s v="No"/>
    <x v="1"/>
    <s v="Yes"/>
    <n v="20"/>
    <n v="15"/>
    <n v="15"/>
  </r>
  <r>
    <n v="3363"/>
    <s v="Vanessa Moraes"/>
    <x v="1"/>
    <x v="131"/>
    <x v="1"/>
    <n v="5"/>
    <x v="0"/>
    <s v="No"/>
    <x v="1"/>
    <s v="No"/>
    <n v="0"/>
    <n v="1"/>
    <n v="4"/>
  </r>
  <r>
    <n v="3364"/>
    <s v="Waldir Junior"/>
    <x v="0"/>
    <x v="132"/>
    <x v="0"/>
    <n v="15"/>
    <x v="2"/>
    <s v="Yes"/>
    <x v="0"/>
    <s v="Yes"/>
    <n v="20"/>
    <n v="7"/>
    <n v="58"/>
  </r>
  <r>
    <n v="3365"/>
    <s v="Xavier Lopes"/>
    <x v="2"/>
    <x v="133"/>
    <x v="1"/>
    <n v="10"/>
    <x v="0"/>
    <s v="No"/>
    <x v="1"/>
    <s v="Yes"/>
    <n v="20"/>
    <n v="10"/>
    <n v="20"/>
  </r>
  <r>
    <n v="3366"/>
    <s v="Yolanda Freitas"/>
    <x v="1"/>
    <x v="134"/>
    <x v="0"/>
    <n v="5"/>
    <x v="0"/>
    <s v="No"/>
    <x v="1"/>
    <s v="No"/>
    <n v="0"/>
    <n v="0"/>
    <n v="5"/>
  </r>
  <r>
    <n v="3367"/>
    <s v="Zacarias Nunes"/>
    <x v="0"/>
    <x v="135"/>
    <x v="1"/>
    <n v="15"/>
    <x v="2"/>
    <s v="Yes"/>
    <x v="0"/>
    <s v="Yes"/>
    <n v="20"/>
    <n v="7"/>
    <n v="58"/>
  </r>
  <r>
    <n v="3368"/>
    <s v="Ana Clara Barreto"/>
    <x v="2"/>
    <x v="136"/>
    <x v="0"/>
    <n v="10"/>
    <x v="1"/>
    <s v="No"/>
    <x v="1"/>
    <s v="Yes"/>
    <n v="20"/>
    <n v="10"/>
    <n v="20"/>
  </r>
  <r>
    <n v="3369"/>
    <s v="Bruno Henrique"/>
    <x v="1"/>
    <x v="137"/>
    <x v="1"/>
    <n v="5"/>
    <x v="2"/>
    <s v="No"/>
    <x v="1"/>
    <s v="No"/>
    <n v="0"/>
    <n v="1"/>
    <n v="4"/>
  </r>
  <r>
    <n v="3370"/>
    <s v="Carlos Eduardo"/>
    <x v="0"/>
    <x v="138"/>
    <x v="0"/>
    <n v="15"/>
    <x v="0"/>
    <s v="Yes"/>
    <x v="0"/>
    <s v="Yes"/>
    <n v="20"/>
    <n v="15"/>
    <n v="50"/>
  </r>
  <r>
    <n v="3371"/>
    <s v="Débora Lima"/>
    <x v="2"/>
    <x v="139"/>
    <x v="1"/>
    <n v="10"/>
    <x v="0"/>
    <s v="No"/>
    <x v="1"/>
    <s v="Yes"/>
    <n v="20"/>
    <n v="5"/>
    <n v="25"/>
  </r>
  <r>
    <n v="3372"/>
    <s v="Elisa Neves"/>
    <x v="1"/>
    <x v="140"/>
    <x v="0"/>
    <n v="5"/>
    <x v="1"/>
    <s v="No"/>
    <x v="1"/>
    <s v="No"/>
    <n v="0"/>
    <n v="0"/>
    <n v="5"/>
  </r>
  <r>
    <n v="3373"/>
    <s v="Fabiano Gomes"/>
    <x v="0"/>
    <x v="141"/>
    <x v="1"/>
    <n v="15"/>
    <x v="2"/>
    <s v="Yes"/>
    <x v="0"/>
    <s v="Yes"/>
    <n v="20"/>
    <n v="20"/>
    <n v="45"/>
  </r>
  <r>
    <n v="3374"/>
    <s v="Gisele Oliveira"/>
    <x v="2"/>
    <x v="142"/>
    <x v="0"/>
    <n v="10"/>
    <x v="2"/>
    <s v="No"/>
    <x v="1"/>
    <s v="Yes"/>
    <n v="20"/>
    <n v="12"/>
    <n v="18"/>
  </r>
  <r>
    <n v="3375"/>
    <s v="Héctor Silva"/>
    <x v="1"/>
    <x v="143"/>
    <x v="1"/>
    <n v="5"/>
    <x v="0"/>
    <s v="No"/>
    <x v="1"/>
    <s v="No"/>
    <n v="0"/>
    <n v="2"/>
    <n v="3"/>
  </r>
  <r>
    <n v="3376"/>
    <s v="Igor Martins"/>
    <x v="0"/>
    <x v="144"/>
    <x v="0"/>
    <n v="15"/>
    <x v="1"/>
    <s v="Yes"/>
    <x v="0"/>
    <s v="Yes"/>
    <n v="20"/>
    <n v="5"/>
    <n v="60"/>
  </r>
  <r>
    <n v="3377"/>
    <s v="Joana Figueiredo"/>
    <x v="2"/>
    <x v="145"/>
    <x v="1"/>
    <n v="10"/>
    <x v="0"/>
    <s v="No"/>
    <x v="1"/>
    <s v="Yes"/>
    <n v="20"/>
    <n v="10"/>
    <n v="20"/>
  </r>
  <r>
    <n v="3378"/>
    <s v="Kleber Machado"/>
    <x v="1"/>
    <x v="146"/>
    <x v="0"/>
    <n v="5"/>
    <x v="2"/>
    <s v="No"/>
    <x v="1"/>
    <s v="No"/>
    <n v="0"/>
    <n v="0"/>
    <n v="5"/>
  </r>
  <r>
    <n v="3379"/>
    <s v="Luciana Santos"/>
    <x v="0"/>
    <x v="147"/>
    <x v="1"/>
    <n v="15"/>
    <x v="0"/>
    <s v="Yes"/>
    <x v="0"/>
    <s v="Yes"/>
    <n v="20"/>
    <n v="3"/>
    <n v="62"/>
  </r>
  <r>
    <n v="3380"/>
    <s v="Marcos Teixeira"/>
    <x v="2"/>
    <x v="148"/>
    <x v="0"/>
    <n v="10"/>
    <x v="1"/>
    <s v="No"/>
    <x v="1"/>
    <s v="Yes"/>
    <n v="20"/>
    <n v="15"/>
    <n v="15"/>
  </r>
  <r>
    <n v="3381"/>
    <s v="Natalia Costa"/>
    <x v="1"/>
    <x v="149"/>
    <x v="1"/>
    <n v="5"/>
    <x v="0"/>
    <s v="No"/>
    <x v="1"/>
    <s v="No"/>
    <n v="0"/>
    <n v="1"/>
    <n v="4"/>
  </r>
  <r>
    <n v="3382"/>
    <s v="Oscar Ribeiro"/>
    <x v="0"/>
    <x v="150"/>
    <x v="0"/>
    <n v="15"/>
    <x v="2"/>
    <s v="Yes"/>
    <x v="0"/>
    <s v="Yes"/>
    <n v="20"/>
    <n v="7"/>
    <n v="58"/>
  </r>
  <r>
    <n v="3383"/>
    <s v="Patricia Almeida"/>
    <x v="2"/>
    <x v="151"/>
    <x v="1"/>
    <n v="10"/>
    <x v="0"/>
    <s v="No"/>
    <x v="1"/>
    <s v="Yes"/>
    <n v="20"/>
    <n v="10"/>
    <n v="20"/>
  </r>
  <r>
    <n v="3384"/>
    <s v="Quirino Junior"/>
    <x v="1"/>
    <x v="152"/>
    <x v="0"/>
    <n v="5"/>
    <x v="1"/>
    <s v="No"/>
    <x v="1"/>
    <s v="No"/>
    <n v="0"/>
    <n v="0"/>
    <n v="5"/>
  </r>
  <r>
    <n v="3385"/>
    <s v="Renata Machado"/>
    <x v="0"/>
    <x v="153"/>
    <x v="1"/>
    <n v="15"/>
    <x v="0"/>
    <s v="Yes"/>
    <x v="0"/>
    <s v="Yes"/>
    <n v="20"/>
    <n v="20"/>
    <n v="45"/>
  </r>
  <r>
    <n v="3386"/>
    <s v="Sônia Alves"/>
    <x v="2"/>
    <x v="154"/>
    <x v="0"/>
    <n v="10"/>
    <x v="2"/>
    <s v="No"/>
    <x v="1"/>
    <s v="Yes"/>
    <n v="20"/>
    <n v="15"/>
    <n v="15"/>
  </r>
  <r>
    <n v="3387"/>
    <s v="Tiago Nunes"/>
    <x v="1"/>
    <x v="155"/>
    <x v="1"/>
    <n v="5"/>
    <x v="0"/>
    <s v="No"/>
    <x v="1"/>
    <s v="No"/>
    <n v="0"/>
    <n v="1"/>
    <n v="4"/>
  </r>
  <r>
    <n v="3388"/>
    <s v="Ulysses Pereira"/>
    <x v="0"/>
    <x v="156"/>
    <x v="0"/>
    <n v="15"/>
    <x v="1"/>
    <s v="Yes"/>
    <x v="0"/>
    <s v="Yes"/>
    <n v="20"/>
    <n v="3"/>
    <n v="62"/>
  </r>
  <r>
    <n v="3389"/>
    <s v="Vanessa Lima"/>
    <x v="2"/>
    <x v="157"/>
    <x v="1"/>
    <n v="10"/>
    <x v="0"/>
    <s v="No"/>
    <x v="1"/>
    <s v="Yes"/>
    <n v="20"/>
    <n v="10"/>
    <n v="20"/>
  </r>
  <r>
    <n v="3390"/>
    <s v="Wagner Santos"/>
    <x v="1"/>
    <x v="158"/>
    <x v="0"/>
    <n v="5"/>
    <x v="2"/>
    <s v="No"/>
    <x v="1"/>
    <s v="No"/>
    <n v="0"/>
    <n v="0"/>
    <n v="5"/>
  </r>
  <r>
    <n v="3391"/>
    <s v="Xuxa Meneghel"/>
    <x v="0"/>
    <x v="159"/>
    <x v="1"/>
    <n v="15"/>
    <x v="0"/>
    <s v="Yes"/>
    <x v="0"/>
    <s v="Yes"/>
    <n v="20"/>
    <n v="15"/>
    <n v="50"/>
  </r>
  <r>
    <n v="3392"/>
    <s v="Yasmin Silva"/>
    <x v="2"/>
    <x v="160"/>
    <x v="0"/>
    <n v="10"/>
    <x v="1"/>
    <s v="No"/>
    <x v="1"/>
    <s v="Yes"/>
    <n v="20"/>
    <n v="15"/>
    <n v="15"/>
  </r>
  <r>
    <n v="3393"/>
    <s v="Zacarias de Souza"/>
    <x v="1"/>
    <x v="161"/>
    <x v="1"/>
    <n v="5"/>
    <x v="0"/>
    <s v="No"/>
    <x v="1"/>
    <s v="No"/>
    <n v="0"/>
    <n v="1"/>
    <n v="4"/>
  </r>
  <r>
    <n v="3394"/>
    <s v="André Lima"/>
    <x v="0"/>
    <x v="162"/>
    <x v="0"/>
    <n v="15"/>
    <x v="2"/>
    <s v="Yes"/>
    <x v="0"/>
    <s v="Yes"/>
    <n v="20"/>
    <n v="7"/>
    <n v="58"/>
  </r>
  <r>
    <n v="3395"/>
    <s v="Bianca Freitas"/>
    <x v="2"/>
    <x v="163"/>
    <x v="1"/>
    <n v="10"/>
    <x v="0"/>
    <s v="No"/>
    <x v="1"/>
    <s v="Yes"/>
    <n v="20"/>
    <n v="10"/>
    <n v="20"/>
  </r>
  <r>
    <n v="3396"/>
    <s v="Caio Mendes"/>
    <x v="1"/>
    <x v="164"/>
    <x v="0"/>
    <n v="5"/>
    <x v="1"/>
    <s v="No"/>
    <x v="1"/>
    <s v="No"/>
    <n v="0"/>
    <n v="0"/>
    <n v="5"/>
  </r>
  <r>
    <n v="3397"/>
    <s v="Daniela Moura"/>
    <x v="0"/>
    <x v="165"/>
    <x v="1"/>
    <n v="15"/>
    <x v="0"/>
    <s v="Yes"/>
    <x v="0"/>
    <s v="Yes"/>
    <n v="20"/>
    <n v="20"/>
    <n v="45"/>
  </r>
  <r>
    <n v="3398"/>
    <s v="Eduardo Costa"/>
    <x v="2"/>
    <x v="166"/>
    <x v="0"/>
    <n v="10"/>
    <x v="2"/>
    <s v="No"/>
    <x v="1"/>
    <s v="Yes"/>
    <n v="20"/>
    <n v="15"/>
    <n v="15"/>
  </r>
  <r>
    <n v="3399"/>
    <s v="Fernanda Gomes"/>
    <x v="1"/>
    <x v="167"/>
    <x v="1"/>
    <n v="5"/>
    <x v="0"/>
    <s v="No"/>
    <x v="1"/>
    <s v="No"/>
    <n v="0"/>
    <n v="1"/>
    <n v="4"/>
  </r>
  <r>
    <n v="3400"/>
    <s v="Guilherme Souza"/>
    <x v="0"/>
    <x v="168"/>
    <x v="0"/>
    <n v="15"/>
    <x v="1"/>
    <s v="Yes"/>
    <x v="0"/>
    <s v="Yes"/>
    <n v="20"/>
    <n v="5"/>
    <n v="60"/>
  </r>
  <r>
    <n v="3401"/>
    <s v="Helena Ribeiro"/>
    <x v="2"/>
    <x v="169"/>
    <x v="1"/>
    <n v="10"/>
    <x v="0"/>
    <s v="No"/>
    <x v="1"/>
    <s v="Yes"/>
    <n v="20"/>
    <n v="10"/>
    <n v="20"/>
  </r>
  <r>
    <n v="3402"/>
    <s v="Igor Santos"/>
    <x v="1"/>
    <x v="170"/>
    <x v="0"/>
    <n v="5"/>
    <x v="2"/>
    <s v="No"/>
    <x v="1"/>
    <s v="No"/>
    <n v="0"/>
    <n v="0"/>
    <n v="5"/>
  </r>
  <r>
    <n v="3403"/>
    <s v="João Carvalho"/>
    <x v="0"/>
    <x v="171"/>
    <x v="1"/>
    <n v="15"/>
    <x v="0"/>
    <s v="Yes"/>
    <x v="0"/>
    <s v="Yes"/>
    <n v="20"/>
    <n v="3"/>
    <n v="62"/>
  </r>
  <r>
    <n v="3404"/>
    <s v="Klara Fagundes"/>
    <x v="2"/>
    <x v="172"/>
    <x v="0"/>
    <n v="10"/>
    <x v="1"/>
    <s v="No"/>
    <x v="1"/>
    <s v="Yes"/>
    <n v="20"/>
    <n v="15"/>
    <n v="15"/>
  </r>
  <r>
    <n v="3405"/>
    <s v="Lúcia Mendonça"/>
    <x v="1"/>
    <x v="173"/>
    <x v="1"/>
    <n v="5"/>
    <x v="0"/>
    <s v="No"/>
    <x v="1"/>
    <s v="No"/>
    <n v="0"/>
    <n v="1"/>
    <n v="4"/>
  </r>
  <r>
    <n v="3406"/>
    <s v="Marcelo Novaes"/>
    <x v="1"/>
    <x v="174"/>
    <x v="0"/>
    <n v="5"/>
    <x v="0"/>
    <s v="No"/>
    <x v="1"/>
    <s v="No"/>
    <n v="0"/>
    <n v="0"/>
    <n v="5"/>
  </r>
  <r>
    <n v="3407"/>
    <s v="Nina Pacheco"/>
    <x v="0"/>
    <x v="175"/>
    <x v="1"/>
    <n v="15"/>
    <x v="2"/>
    <s v="Yes"/>
    <x v="0"/>
    <s v="Yes"/>
    <n v="20"/>
    <n v="7"/>
    <n v="58"/>
  </r>
  <r>
    <n v="3408"/>
    <s v="Olívia Rios"/>
    <x v="2"/>
    <x v="176"/>
    <x v="0"/>
    <n v="10"/>
    <x v="1"/>
    <s v="No"/>
    <x v="1"/>
    <s v="Yes"/>
    <n v="20"/>
    <n v="10"/>
    <n v="20"/>
  </r>
  <r>
    <n v="3409"/>
    <s v="Paulo Quintana"/>
    <x v="1"/>
    <x v="177"/>
    <x v="1"/>
    <n v="5"/>
    <x v="2"/>
    <s v="No"/>
    <x v="1"/>
    <s v="No"/>
    <n v="0"/>
    <n v="1"/>
    <n v="4"/>
  </r>
  <r>
    <n v="3410"/>
    <s v="Raquel Domingos"/>
    <x v="0"/>
    <x v="178"/>
    <x v="0"/>
    <n v="15"/>
    <x v="0"/>
    <s v="Yes"/>
    <x v="0"/>
    <s v="Yes"/>
    <n v="20"/>
    <n v="15"/>
    <n v="50"/>
  </r>
  <r>
    <n v="3411"/>
    <s v="Samuel Viana"/>
    <x v="2"/>
    <x v="179"/>
    <x v="1"/>
    <n v="10"/>
    <x v="0"/>
    <s v="No"/>
    <x v="1"/>
    <s v="Yes"/>
    <n v="20"/>
    <n v="5"/>
    <n v="25"/>
  </r>
  <r>
    <n v="3412"/>
    <s v="Tatiane Rocha"/>
    <x v="1"/>
    <x v="180"/>
    <x v="0"/>
    <n v="5"/>
    <x v="1"/>
    <s v="No"/>
    <x v="1"/>
    <s v="No"/>
    <n v="0"/>
    <n v="0"/>
    <n v="5"/>
  </r>
  <r>
    <n v="3413"/>
    <s v="Ulysses Farias"/>
    <x v="0"/>
    <x v="181"/>
    <x v="1"/>
    <n v="15"/>
    <x v="2"/>
    <s v="Yes"/>
    <x v="0"/>
    <s v="Yes"/>
    <n v="20"/>
    <n v="20"/>
    <n v="45"/>
  </r>
  <r>
    <n v="3414"/>
    <s v="Vanessa Moreira"/>
    <x v="2"/>
    <x v="182"/>
    <x v="0"/>
    <n v="10"/>
    <x v="2"/>
    <s v="No"/>
    <x v="1"/>
    <s v="Yes"/>
    <n v="20"/>
    <n v="12"/>
    <n v="18"/>
  </r>
  <r>
    <n v="3415"/>
    <s v="William Carvalho"/>
    <x v="1"/>
    <x v="183"/>
    <x v="1"/>
    <n v="5"/>
    <x v="0"/>
    <s v="No"/>
    <x v="1"/>
    <s v="No"/>
    <n v="0"/>
    <n v="2"/>
    <n v="3"/>
  </r>
  <r>
    <n v="3416"/>
    <s v="Ximena Barros"/>
    <x v="0"/>
    <x v="184"/>
    <x v="0"/>
    <n v="15"/>
    <x v="1"/>
    <s v="Yes"/>
    <x v="0"/>
    <s v="Yes"/>
    <n v="20"/>
    <n v="5"/>
    <n v="60"/>
  </r>
  <r>
    <n v="3417"/>
    <s v="Yara Machado"/>
    <x v="2"/>
    <x v="185"/>
    <x v="1"/>
    <n v="10"/>
    <x v="0"/>
    <s v="No"/>
    <x v="1"/>
    <s v="Yes"/>
    <n v="20"/>
    <n v="10"/>
    <n v="20"/>
  </r>
  <r>
    <n v="3418"/>
    <s v="Zacarias Costa"/>
    <x v="1"/>
    <x v="186"/>
    <x v="0"/>
    <n v="5"/>
    <x v="2"/>
    <s v="No"/>
    <x v="1"/>
    <s v="No"/>
    <n v="0"/>
    <n v="0"/>
    <n v="5"/>
  </r>
  <r>
    <n v="3419"/>
    <s v="André Lopes"/>
    <x v="0"/>
    <x v="187"/>
    <x v="1"/>
    <n v="15"/>
    <x v="0"/>
    <s v="Yes"/>
    <x v="0"/>
    <s v="Yes"/>
    <n v="20"/>
    <n v="3"/>
    <n v="62"/>
  </r>
  <r>
    <n v="3420"/>
    <s v="Beatriz Souza"/>
    <x v="2"/>
    <x v="188"/>
    <x v="0"/>
    <n v="10"/>
    <x v="1"/>
    <s v="No"/>
    <x v="1"/>
    <s v="Yes"/>
    <n v="20"/>
    <n v="15"/>
    <n v="15"/>
  </r>
  <r>
    <n v="3421"/>
    <s v="Caio Pereira"/>
    <x v="1"/>
    <x v="189"/>
    <x v="1"/>
    <n v="5"/>
    <x v="0"/>
    <s v="No"/>
    <x v="1"/>
    <s v="No"/>
    <n v="0"/>
    <n v="1"/>
    <n v="4"/>
  </r>
  <r>
    <n v="3422"/>
    <s v="Daniela Araújo"/>
    <x v="0"/>
    <x v="190"/>
    <x v="0"/>
    <n v="15"/>
    <x v="2"/>
    <s v="Yes"/>
    <x v="0"/>
    <s v="Yes"/>
    <n v="20"/>
    <n v="7"/>
    <n v="58"/>
  </r>
  <r>
    <n v="3423"/>
    <s v="Eduardo Santos"/>
    <x v="2"/>
    <x v="191"/>
    <x v="1"/>
    <n v="10"/>
    <x v="0"/>
    <s v="No"/>
    <x v="1"/>
    <s v="Yes"/>
    <n v="20"/>
    <n v="10"/>
    <n v="20"/>
  </r>
  <r>
    <n v="3424"/>
    <s v="Fernanda Lima"/>
    <x v="1"/>
    <x v="192"/>
    <x v="0"/>
    <n v="5"/>
    <x v="1"/>
    <s v="No"/>
    <x v="1"/>
    <s v="No"/>
    <n v="0"/>
    <n v="0"/>
    <n v="5"/>
  </r>
  <r>
    <n v="3425"/>
    <s v="Gabriel Teixeira"/>
    <x v="0"/>
    <x v="193"/>
    <x v="1"/>
    <n v="15"/>
    <x v="0"/>
    <s v="Yes"/>
    <x v="0"/>
    <s v="Yes"/>
    <n v="20"/>
    <n v="20"/>
    <n v="45"/>
  </r>
  <r>
    <n v="3426"/>
    <s v="Helena Ribeiro"/>
    <x v="2"/>
    <x v="194"/>
    <x v="0"/>
    <n v="10"/>
    <x v="2"/>
    <s v="No"/>
    <x v="1"/>
    <s v="Yes"/>
    <n v="20"/>
    <n v="15"/>
    <n v="15"/>
  </r>
  <r>
    <n v="3427"/>
    <s v="Igor Mendes"/>
    <x v="1"/>
    <x v="195"/>
    <x v="1"/>
    <n v="5"/>
    <x v="0"/>
    <s v="No"/>
    <x v="1"/>
    <s v="No"/>
    <n v="0"/>
    <n v="1"/>
    <n v="4"/>
  </r>
  <r>
    <n v="3428"/>
    <s v="Joana Silveira"/>
    <x v="0"/>
    <x v="196"/>
    <x v="0"/>
    <n v="15"/>
    <x v="1"/>
    <s v="Yes"/>
    <x v="0"/>
    <s v="Yes"/>
    <n v="20"/>
    <n v="3"/>
    <n v="62"/>
  </r>
  <r>
    <n v="3429"/>
    <s v="Lucas Martins"/>
    <x v="2"/>
    <x v="197"/>
    <x v="1"/>
    <n v="10"/>
    <x v="0"/>
    <s v="No"/>
    <x v="1"/>
    <s v="Yes"/>
    <n v="20"/>
    <n v="10"/>
    <n v="20"/>
  </r>
  <r>
    <n v="3430"/>
    <s v="Marcela Gouveia"/>
    <x v="1"/>
    <x v="198"/>
    <x v="0"/>
    <n v="5"/>
    <x v="2"/>
    <s v="No"/>
    <x v="1"/>
    <s v="No"/>
    <n v="0"/>
    <n v="0"/>
    <n v="5"/>
  </r>
  <r>
    <n v="3431"/>
    <s v="Nicolas Borges"/>
    <x v="0"/>
    <x v="199"/>
    <x v="1"/>
    <n v="15"/>
    <x v="0"/>
    <s v="Yes"/>
    <x v="0"/>
    <s v="Yes"/>
    <n v="20"/>
    <n v="15"/>
    <n v="50"/>
  </r>
  <r>
    <n v="3432"/>
    <s v="Olivia Freitas"/>
    <x v="2"/>
    <x v="200"/>
    <x v="0"/>
    <n v="10"/>
    <x v="1"/>
    <s v="No"/>
    <x v="1"/>
    <s v="Yes"/>
    <n v="20"/>
    <n v="15"/>
    <n v="15"/>
  </r>
  <r>
    <n v="3433"/>
    <s v="Paulo Nogueira"/>
    <x v="1"/>
    <x v="201"/>
    <x v="1"/>
    <n v="5"/>
    <x v="0"/>
    <s v="No"/>
    <x v="1"/>
    <s v="No"/>
    <n v="0"/>
    <n v="1"/>
    <n v="4"/>
  </r>
  <r>
    <n v="3434"/>
    <s v="Raquel Andrade"/>
    <x v="0"/>
    <x v="202"/>
    <x v="0"/>
    <n v="15"/>
    <x v="2"/>
    <s v="Yes"/>
    <x v="0"/>
    <s v="Yes"/>
    <n v="20"/>
    <n v="7"/>
    <n v="58"/>
  </r>
  <r>
    <n v="3435"/>
    <s v="Sônia Carvalho"/>
    <x v="2"/>
    <x v="203"/>
    <x v="1"/>
    <n v="10"/>
    <x v="0"/>
    <s v="No"/>
    <x v="1"/>
    <s v="Yes"/>
    <n v="20"/>
    <n v="10"/>
    <n v="20"/>
  </r>
  <r>
    <n v="3436"/>
    <s v="Tiago Rodrigues"/>
    <x v="1"/>
    <x v="204"/>
    <x v="0"/>
    <n v="5"/>
    <x v="0"/>
    <s v="No"/>
    <x v="1"/>
    <s v="No"/>
    <n v="0"/>
    <n v="0"/>
    <n v="5"/>
  </r>
  <r>
    <n v="3437"/>
    <s v="Ursula Monteiro"/>
    <x v="0"/>
    <x v="205"/>
    <x v="1"/>
    <n v="15"/>
    <x v="2"/>
    <s v="Yes"/>
    <x v="0"/>
    <s v="Yes"/>
    <n v="20"/>
    <n v="7"/>
    <n v="58"/>
  </r>
  <r>
    <n v="3438"/>
    <s v="Vanessa Pereira"/>
    <x v="2"/>
    <x v="206"/>
    <x v="0"/>
    <n v="10"/>
    <x v="1"/>
    <s v="No"/>
    <x v="1"/>
    <s v="Yes"/>
    <n v="20"/>
    <n v="10"/>
    <n v="20"/>
  </r>
  <r>
    <n v="3439"/>
    <s v="Walter Silva"/>
    <x v="1"/>
    <x v="207"/>
    <x v="1"/>
    <n v="5"/>
    <x v="2"/>
    <s v="No"/>
    <x v="1"/>
    <s v="No"/>
    <n v="0"/>
    <n v="1"/>
    <n v="4"/>
  </r>
  <r>
    <n v="3440"/>
    <s v="Xavier Almeida"/>
    <x v="0"/>
    <x v="208"/>
    <x v="0"/>
    <n v="15"/>
    <x v="0"/>
    <s v="Yes"/>
    <x v="0"/>
    <s v="Yes"/>
    <n v="20"/>
    <n v="15"/>
    <n v="50"/>
  </r>
  <r>
    <n v="3441"/>
    <s v="Yasmine Correia"/>
    <x v="2"/>
    <x v="209"/>
    <x v="1"/>
    <n v="10"/>
    <x v="0"/>
    <s v="No"/>
    <x v="1"/>
    <s v="Yes"/>
    <n v="20"/>
    <n v="5"/>
    <n v="25"/>
  </r>
  <r>
    <n v="3442"/>
    <s v="Zacarias Almeida"/>
    <x v="1"/>
    <x v="210"/>
    <x v="0"/>
    <n v="5"/>
    <x v="1"/>
    <s v="No"/>
    <x v="1"/>
    <s v="No"/>
    <n v="0"/>
    <n v="0"/>
    <n v="5"/>
  </r>
  <r>
    <n v="3443"/>
    <s v="Amanda Costa"/>
    <x v="0"/>
    <x v="211"/>
    <x v="1"/>
    <n v="15"/>
    <x v="2"/>
    <s v="Yes"/>
    <x v="0"/>
    <s v="Yes"/>
    <n v="20"/>
    <n v="20"/>
    <n v="45"/>
  </r>
  <r>
    <n v="3444"/>
    <s v="Bruno Ferreira"/>
    <x v="2"/>
    <x v="212"/>
    <x v="0"/>
    <n v="10"/>
    <x v="2"/>
    <s v="No"/>
    <x v="1"/>
    <s v="Yes"/>
    <n v="20"/>
    <n v="12"/>
    <n v="18"/>
  </r>
  <r>
    <n v="3445"/>
    <s v="Carla Dias"/>
    <x v="1"/>
    <x v="213"/>
    <x v="1"/>
    <n v="5"/>
    <x v="0"/>
    <s v="No"/>
    <x v="1"/>
    <s v="No"/>
    <n v="0"/>
    <n v="2"/>
    <n v="3"/>
  </r>
  <r>
    <n v="3446"/>
    <s v="Diogo Martins"/>
    <x v="0"/>
    <x v="214"/>
    <x v="0"/>
    <n v="15"/>
    <x v="1"/>
    <s v="Yes"/>
    <x v="0"/>
    <s v="Yes"/>
    <n v="20"/>
    <n v="5"/>
    <n v="60"/>
  </r>
  <r>
    <n v="3447"/>
    <s v="Elisa Campos"/>
    <x v="2"/>
    <x v="215"/>
    <x v="1"/>
    <n v="10"/>
    <x v="0"/>
    <s v="No"/>
    <x v="1"/>
    <s v="Yes"/>
    <n v="20"/>
    <n v="10"/>
    <n v="20"/>
  </r>
  <r>
    <n v="3448"/>
    <s v="Fabiana Lima"/>
    <x v="1"/>
    <x v="216"/>
    <x v="0"/>
    <n v="5"/>
    <x v="2"/>
    <s v="No"/>
    <x v="1"/>
    <s v="No"/>
    <n v="0"/>
    <n v="0"/>
    <n v="5"/>
  </r>
  <r>
    <n v="3449"/>
    <s v="Gabriel Santos"/>
    <x v="0"/>
    <x v="217"/>
    <x v="1"/>
    <n v="15"/>
    <x v="0"/>
    <s v="Yes"/>
    <x v="0"/>
    <s v="Yes"/>
    <n v="20"/>
    <n v="3"/>
    <n v="62"/>
  </r>
  <r>
    <n v="3450"/>
    <s v="Helena Ferreira"/>
    <x v="2"/>
    <x v="218"/>
    <x v="0"/>
    <n v="10"/>
    <x v="1"/>
    <s v="No"/>
    <x v="1"/>
    <s v="Yes"/>
    <n v="20"/>
    <n v="15"/>
    <n v="15"/>
  </r>
  <r>
    <n v="3451"/>
    <s v="Ígor Nunes"/>
    <x v="1"/>
    <x v="219"/>
    <x v="1"/>
    <n v="5"/>
    <x v="0"/>
    <s v="No"/>
    <x v="1"/>
    <s v="No"/>
    <n v="0"/>
    <n v="1"/>
    <n v="4"/>
  </r>
  <r>
    <n v="3452"/>
    <s v="Joana Silveira"/>
    <x v="0"/>
    <x v="220"/>
    <x v="0"/>
    <n v="15"/>
    <x v="2"/>
    <s v="Yes"/>
    <x v="0"/>
    <s v="Yes"/>
    <n v="20"/>
    <n v="7"/>
    <n v="58"/>
  </r>
  <r>
    <n v="3453"/>
    <s v="Kléber Oliveira"/>
    <x v="2"/>
    <x v="221"/>
    <x v="1"/>
    <n v="10"/>
    <x v="0"/>
    <s v="No"/>
    <x v="1"/>
    <s v="Yes"/>
    <n v="20"/>
    <n v="10"/>
    <n v="20"/>
  </r>
  <r>
    <n v="3454"/>
    <s v="Luciana Morais"/>
    <x v="1"/>
    <x v="222"/>
    <x v="0"/>
    <n v="5"/>
    <x v="1"/>
    <s v="No"/>
    <x v="1"/>
    <s v="No"/>
    <n v="0"/>
    <n v="0"/>
    <n v="5"/>
  </r>
  <r>
    <n v="3455"/>
    <s v="Marcos Vinícius"/>
    <x v="0"/>
    <x v="223"/>
    <x v="1"/>
    <n v="15"/>
    <x v="0"/>
    <s v="Yes"/>
    <x v="0"/>
    <s v="Yes"/>
    <n v="20"/>
    <n v="20"/>
    <n v="45"/>
  </r>
  <r>
    <n v="3456"/>
    <s v="Natália Barros"/>
    <x v="2"/>
    <x v="224"/>
    <x v="0"/>
    <n v="10"/>
    <x v="2"/>
    <s v="No"/>
    <x v="1"/>
    <s v="Yes"/>
    <n v="20"/>
    <n v="15"/>
    <n v="15"/>
  </r>
  <r>
    <n v="3457"/>
    <s v="Oscar Sampaio"/>
    <x v="1"/>
    <x v="225"/>
    <x v="1"/>
    <n v="5"/>
    <x v="0"/>
    <s v="No"/>
    <x v="1"/>
    <s v="No"/>
    <n v="0"/>
    <n v="1"/>
    <n v="4"/>
  </r>
  <r>
    <n v="3458"/>
    <s v="Patrícia Leite"/>
    <x v="0"/>
    <x v="226"/>
    <x v="0"/>
    <n v="15"/>
    <x v="1"/>
    <s v="Yes"/>
    <x v="0"/>
    <s v="Yes"/>
    <n v="20"/>
    <n v="3"/>
    <n v="62"/>
  </r>
  <r>
    <n v="3459"/>
    <s v="Quênia Rocha"/>
    <x v="2"/>
    <x v="227"/>
    <x v="1"/>
    <n v="10"/>
    <x v="0"/>
    <s v="No"/>
    <x v="1"/>
    <s v="Yes"/>
    <n v="20"/>
    <n v="10"/>
    <n v="20"/>
  </r>
  <r>
    <n v="3460"/>
    <s v="Rafael Torres"/>
    <x v="1"/>
    <x v="228"/>
    <x v="0"/>
    <n v="5"/>
    <x v="2"/>
    <s v="No"/>
    <x v="1"/>
    <s v="No"/>
    <n v="0"/>
    <n v="0"/>
    <n v="5"/>
  </r>
  <r>
    <n v="3461"/>
    <s v="Sandra Gouveia"/>
    <x v="0"/>
    <x v="229"/>
    <x v="1"/>
    <n v="15"/>
    <x v="0"/>
    <s v="Yes"/>
    <x v="0"/>
    <s v="Yes"/>
    <n v="20"/>
    <n v="15"/>
    <n v="50"/>
  </r>
  <r>
    <n v="3462"/>
    <s v="Tiago Lacerda"/>
    <x v="2"/>
    <x v="230"/>
    <x v="0"/>
    <n v="10"/>
    <x v="1"/>
    <s v="No"/>
    <x v="1"/>
    <s v="Yes"/>
    <n v="20"/>
    <n v="15"/>
    <n v="15"/>
  </r>
  <r>
    <n v="3463"/>
    <s v="Ursula Fonseca"/>
    <x v="1"/>
    <x v="231"/>
    <x v="1"/>
    <n v="5"/>
    <x v="0"/>
    <s v="No"/>
    <x v="1"/>
    <s v="No"/>
    <n v="0"/>
    <n v="1"/>
    <n v="4"/>
  </r>
  <r>
    <n v="3464"/>
    <s v="Vanessa Andrade"/>
    <x v="0"/>
    <x v="232"/>
    <x v="0"/>
    <n v="15"/>
    <x v="2"/>
    <s v="Yes"/>
    <x v="0"/>
    <s v="Yes"/>
    <n v="20"/>
    <n v="7"/>
    <n v="58"/>
  </r>
  <r>
    <n v="3465"/>
    <s v="William Castro"/>
    <x v="2"/>
    <x v="233"/>
    <x v="1"/>
    <n v="10"/>
    <x v="0"/>
    <s v="No"/>
    <x v="1"/>
    <s v="Yes"/>
    <n v="20"/>
    <n v="10"/>
    <n v="20"/>
  </r>
  <r>
    <n v="3466"/>
    <s v="Xavier Monteiro"/>
    <x v="1"/>
    <x v="234"/>
    <x v="0"/>
    <n v="5"/>
    <x v="1"/>
    <s v="No"/>
    <x v="1"/>
    <s v="No"/>
    <n v="0"/>
    <n v="0"/>
    <n v="5"/>
  </r>
  <r>
    <n v="3467"/>
    <s v="Yasmin Figueira"/>
    <x v="0"/>
    <x v="235"/>
    <x v="1"/>
    <n v="15"/>
    <x v="0"/>
    <s v="Yes"/>
    <x v="0"/>
    <s v="Yes"/>
    <n v="20"/>
    <n v="15"/>
    <n v="50"/>
  </r>
  <r>
    <n v="3468"/>
    <s v="Zacarias Mendonça"/>
    <x v="2"/>
    <x v="236"/>
    <x v="0"/>
    <n v="10"/>
    <x v="2"/>
    <s v="No"/>
    <x v="1"/>
    <s v="Yes"/>
    <n v="20"/>
    <n v="12"/>
    <n v="18"/>
  </r>
  <r>
    <n v="3469"/>
    <s v="Amanda Menezes"/>
    <x v="1"/>
    <x v="237"/>
    <x v="1"/>
    <n v="5"/>
    <x v="0"/>
    <s v="No"/>
    <x v="1"/>
    <s v="No"/>
    <n v="0"/>
    <n v="2"/>
    <n v="3"/>
  </r>
  <r>
    <n v="3470"/>
    <s v="Bruno Santos"/>
    <x v="0"/>
    <x v="238"/>
    <x v="0"/>
    <n v="15"/>
    <x v="1"/>
    <s v="Yes"/>
    <x v="0"/>
    <s v="Yes"/>
    <n v="20"/>
    <n v="5"/>
    <n v="60"/>
  </r>
  <r>
    <n v="3471"/>
    <s v="Carla Ferreira"/>
    <x v="2"/>
    <x v="239"/>
    <x v="1"/>
    <n v="10"/>
    <x v="0"/>
    <s v="No"/>
    <x v="1"/>
    <s v="Yes"/>
    <n v="20"/>
    <n v="10"/>
    <n v="20"/>
  </r>
  <r>
    <n v="3472"/>
    <s v="Diogo Alves"/>
    <x v="1"/>
    <x v="240"/>
    <x v="0"/>
    <n v="5"/>
    <x v="2"/>
    <s v="No"/>
    <x v="1"/>
    <s v="No"/>
    <n v="0"/>
    <n v="0"/>
    <n v="5"/>
  </r>
  <r>
    <n v="3473"/>
    <s v="Elisa Neves"/>
    <x v="0"/>
    <x v="241"/>
    <x v="1"/>
    <n v="15"/>
    <x v="0"/>
    <s v="Yes"/>
    <x v="0"/>
    <s v="Yes"/>
    <n v="20"/>
    <n v="3"/>
    <n v="62"/>
  </r>
  <r>
    <n v="3474"/>
    <s v="Fabiano Pires"/>
    <x v="2"/>
    <x v="242"/>
    <x v="0"/>
    <n v="10"/>
    <x v="1"/>
    <s v="No"/>
    <x v="1"/>
    <s v="Yes"/>
    <n v="20"/>
    <n v="15"/>
    <n v="15"/>
  </r>
  <r>
    <n v="3475"/>
    <s v="Giovana Ribeiro"/>
    <x v="1"/>
    <x v="243"/>
    <x v="1"/>
    <n v="5"/>
    <x v="0"/>
    <s v="No"/>
    <x v="1"/>
    <s v="No"/>
    <n v="0"/>
    <n v="1"/>
    <n v="4"/>
  </r>
  <r>
    <n v="3476"/>
    <s v="Hélio Costa"/>
    <x v="0"/>
    <x v="244"/>
    <x v="0"/>
    <n v="15"/>
    <x v="2"/>
    <s v="Yes"/>
    <x v="0"/>
    <s v="Yes"/>
    <n v="20"/>
    <n v="7"/>
    <n v="58"/>
  </r>
  <r>
    <n v="3477"/>
    <s v="Íris Loureiro"/>
    <x v="2"/>
    <x v="245"/>
    <x v="1"/>
    <n v="10"/>
    <x v="0"/>
    <s v="No"/>
    <x v="1"/>
    <s v="Yes"/>
    <n v="20"/>
    <n v="10"/>
    <n v="20"/>
  </r>
  <r>
    <n v="3478"/>
    <s v="João Pereira"/>
    <x v="1"/>
    <x v="246"/>
    <x v="0"/>
    <n v="5"/>
    <x v="1"/>
    <s v="No"/>
    <x v="1"/>
    <s v="No"/>
    <n v="0"/>
    <n v="0"/>
    <n v="5"/>
  </r>
  <r>
    <n v="3479"/>
    <s v="Klara Silva"/>
    <x v="0"/>
    <x v="247"/>
    <x v="1"/>
    <n v="15"/>
    <x v="0"/>
    <s v="Yes"/>
    <x v="0"/>
    <s v="Yes"/>
    <n v="20"/>
    <n v="20"/>
    <n v="45"/>
  </r>
  <r>
    <n v="3480"/>
    <s v="Luciana Barros"/>
    <x v="2"/>
    <x v="248"/>
    <x v="0"/>
    <n v="10"/>
    <x v="2"/>
    <s v="No"/>
    <x v="1"/>
    <s v="Yes"/>
    <n v="20"/>
    <n v="15"/>
    <n v="15"/>
  </r>
  <r>
    <n v="3481"/>
    <s v="Marcos Gomes"/>
    <x v="1"/>
    <x v="249"/>
    <x v="1"/>
    <n v="5"/>
    <x v="0"/>
    <s v="No"/>
    <x v="1"/>
    <s v="No"/>
    <n v="0"/>
    <n v="1"/>
    <n v="4"/>
  </r>
  <r>
    <n v="3482"/>
    <s v="Natália Soares"/>
    <x v="0"/>
    <x v="250"/>
    <x v="0"/>
    <n v="15"/>
    <x v="1"/>
    <s v="Yes"/>
    <x v="0"/>
    <s v="Yes"/>
    <n v="20"/>
    <n v="3"/>
    <n v="62"/>
  </r>
  <r>
    <n v="3483"/>
    <s v="Oscar Machado"/>
    <x v="2"/>
    <x v="251"/>
    <x v="1"/>
    <n v="10"/>
    <x v="0"/>
    <s v="No"/>
    <x v="1"/>
    <s v="Yes"/>
    <n v="20"/>
    <n v="10"/>
    <n v="20"/>
  </r>
  <r>
    <n v="3484"/>
    <s v="Patrícia Lima"/>
    <x v="1"/>
    <x v="252"/>
    <x v="0"/>
    <n v="5"/>
    <x v="2"/>
    <s v="No"/>
    <x v="1"/>
    <s v="No"/>
    <n v="0"/>
    <n v="0"/>
    <n v="5"/>
  </r>
  <r>
    <n v="3485"/>
    <s v="Quirino Neto"/>
    <x v="0"/>
    <x v="253"/>
    <x v="1"/>
    <n v="15"/>
    <x v="0"/>
    <s v="Yes"/>
    <x v="0"/>
    <s v="Yes"/>
    <n v="20"/>
    <n v="15"/>
    <n v="50"/>
  </r>
  <r>
    <n v="3486"/>
    <s v="Rafaela Souza"/>
    <x v="1"/>
    <x v="254"/>
    <x v="0"/>
    <n v="5"/>
    <x v="0"/>
    <s v="No"/>
    <x v="1"/>
    <s v="No"/>
    <n v="0"/>
    <n v="0"/>
    <n v="5"/>
  </r>
  <r>
    <n v="3487"/>
    <s v="Sandro Almeida"/>
    <x v="0"/>
    <x v="255"/>
    <x v="1"/>
    <n v="15"/>
    <x v="2"/>
    <s v="Yes"/>
    <x v="0"/>
    <s v="Yes"/>
    <n v="20"/>
    <n v="7"/>
    <n v="58"/>
  </r>
  <r>
    <n v="3488"/>
    <s v="Tânia Ribeiro"/>
    <x v="2"/>
    <x v="256"/>
    <x v="0"/>
    <n v="10"/>
    <x v="1"/>
    <s v="No"/>
    <x v="1"/>
    <s v="Yes"/>
    <n v="20"/>
    <n v="10"/>
    <n v="20"/>
  </r>
  <r>
    <n v="3489"/>
    <s v="Ugo Dias"/>
    <x v="1"/>
    <x v="257"/>
    <x v="1"/>
    <n v="5"/>
    <x v="2"/>
    <s v="No"/>
    <x v="1"/>
    <s v="No"/>
    <n v="0"/>
    <n v="1"/>
    <n v="4"/>
  </r>
  <r>
    <n v="3490"/>
    <s v="Valéria Lima"/>
    <x v="0"/>
    <x v="258"/>
    <x v="0"/>
    <n v="15"/>
    <x v="0"/>
    <s v="Yes"/>
    <x v="0"/>
    <s v="Yes"/>
    <n v="20"/>
    <n v="15"/>
    <n v="50"/>
  </r>
  <r>
    <n v="3491"/>
    <s v="William Fernandes"/>
    <x v="2"/>
    <x v="259"/>
    <x v="1"/>
    <n v="10"/>
    <x v="0"/>
    <s v="No"/>
    <x v="1"/>
    <s v="Yes"/>
    <n v="20"/>
    <n v="5"/>
    <n v="25"/>
  </r>
  <r>
    <n v="3492"/>
    <s v="Xuxa Mendes"/>
    <x v="1"/>
    <x v="260"/>
    <x v="0"/>
    <n v="5"/>
    <x v="1"/>
    <s v="No"/>
    <x v="1"/>
    <s v="No"/>
    <n v="0"/>
    <n v="0"/>
    <n v="5"/>
  </r>
  <r>
    <n v="3493"/>
    <s v="Ygor Farias"/>
    <x v="0"/>
    <x v="261"/>
    <x v="1"/>
    <n v="15"/>
    <x v="2"/>
    <s v="Yes"/>
    <x v="0"/>
    <s v="Yes"/>
    <n v="20"/>
    <n v="20"/>
    <n v="45"/>
  </r>
  <r>
    <n v="3494"/>
    <s v="Zilda Barros"/>
    <x v="2"/>
    <x v="262"/>
    <x v="0"/>
    <n v="10"/>
    <x v="2"/>
    <s v="No"/>
    <x v="1"/>
    <s v="Yes"/>
    <n v="20"/>
    <n v="12"/>
    <n v="18"/>
  </r>
  <r>
    <n v="3495"/>
    <s v="Amanda Santos"/>
    <x v="1"/>
    <x v="263"/>
    <x v="1"/>
    <n v="5"/>
    <x v="0"/>
    <s v="No"/>
    <x v="1"/>
    <s v="No"/>
    <n v="0"/>
    <n v="2"/>
    <n v="3"/>
  </r>
  <r>
    <n v="3496"/>
    <s v="Bruno Costa"/>
    <x v="0"/>
    <x v="264"/>
    <x v="0"/>
    <n v="15"/>
    <x v="1"/>
    <s v="Yes"/>
    <x v="0"/>
    <s v="Yes"/>
    <n v="20"/>
    <n v="5"/>
    <n v="60"/>
  </r>
  <r>
    <n v="3497"/>
    <s v="Carla Rodrigues"/>
    <x v="2"/>
    <x v="265"/>
    <x v="1"/>
    <n v="10"/>
    <x v="0"/>
    <s v="No"/>
    <x v="1"/>
    <s v="Yes"/>
    <n v="20"/>
    <n v="10"/>
    <n v="20"/>
  </r>
  <r>
    <n v="3498"/>
    <s v="Diogo Pereira"/>
    <x v="1"/>
    <x v="266"/>
    <x v="0"/>
    <n v="5"/>
    <x v="2"/>
    <s v="No"/>
    <x v="1"/>
    <s v="No"/>
    <n v="0"/>
    <n v="0"/>
    <n v="5"/>
  </r>
  <r>
    <n v="3499"/>
    <s v="Elisa Correia"/>
    <x v="0"/>
    <x v="267"/>
    <x v="1"/>
    <n v="15"/>
    <x v="0"/>
    <s v="Yes"/>
    <x v="0"/>
    <s v="Yes"/>
    <n v="20"/>
    <n v="3"/>
    <n v="62"/>
  </r>
  <r>
    <n v="3500"/>
    <s v="Fábio Lourenço"/>
    <x v="2"/>
    <x v="268"/>
    <x v="0"/>
    <n v="10"/>
    <x v="1"/>
    <s v="No"/>
    <x v="1"/>
    <s v="Yes"/>
    <n v="20"/>
    <n v="15"/>
    <n v="15"/>
  </r>
  <r>
    <n v="3501"/>
    <s v="Gabriela Neves"/>
    <x v="1"/>
    <x v="269"/>
    <x v="1"/>
    <n v="5"/>
    <x v="0"/>
    <s v="No"/>
    <x v="1"/>
    <s v="No"/>
    <n v="0"/>
    <n v="1"/>
    <n v="4"/>
  </r>
  <r>
    <n v="3502"/>
    <s v="Henrique Gonçalves"/>
    <x v="0"/>
    <x v="270"/>
    <x v="0"/>
    <n v="15"/>
    <x v="2"/>
    <s v="Yes"/>
    <x v="0"/>
    <s v="Yes"/>
    <n v="20"/>
    <n v="7"/>
    <n v="58"/>
  </r>
  <r>
    <n v="3503"/>
    <s v="Íris Santos"/>
    <x v="2"/>
    <x v="271"/>
    <x v="1"/>
    <n v="10"/>
    <x v="0"/>
    <s v="No"/>
    <x v="1"/>
    <s v="Yes"/>
    <n v="20"/>
    <n v="10"/>
    <n v="20"/>
  </r>
  <r>
    <n v="3504"/>
    <s v="João Marcelo Alves"/>
    <x v="1"/>
    <x v="272"/>
    <x v="0"/>
    <n v="5"/>
    <x v="1"/>
    <s v="No"/>
    <x v="1"/>
    <s v="No"/>
    <n v="0"/>
    <n v="0"/>
    <n v="5"/>
  </r>
  <r>
    <n v="3505"/>
    <s v="Klara Fonseca"/>
    <x v="0"/>
    <x v="273"/>
    <x v="1"/>
    <n v="15"/>
    <x v="0"/>
    <s v="Yes"/>
    <x v="0"/>
    <s v="Yes"/>
    <n v="20"/>
    <n v="20"/>
    <n v="45"/>
  </r>
  <r>
    <n v="3506"/>
    <s v="Lucas Mendonça"/>
    <x v="2"/>
    <x v="274"/>
    <x v="0"/>
    <n v="10"/>
    <x v="2"/>
    <s v="No"/>
    <x v="1"/>
    <s v="Yes"/>
    <n v="20"/>
    <n v="15"/>
    <n v="15"/>
  </r>
  <r>
    <n v="3507"/>
    <s v="Marcela Torres"/>
    <x v="1"/>
    <x v="275"/>
    <x v="1"/>
    <n v="5"/>
    <x v="0"/>
    <s v="No"/>
    <x v="1"/>
    <s v="No"/>
    <n v="0"/>
    <n v="1"/>
    <n v="4"/>
  </r>
  <r>
    <n v="3508"/>
    <s v="Natália Castro"/>
    <x v="0"/>
    <x v="276"/>
    <x v="0"/>
    <n v="15"/>
    <x v="1"/>
    <s v="Yes"/>
    <x v="0"/>
    <s v="Yes"/>
    <n v="20"/>
    <n v="3"/>
    <n v="62"/>
  </r>
  <r>
    <n v="3509"/>
    <s v="Oscar Martins"/>
    <x v="2"/>
    <x v="277"/>
    <x v="1"/>
    <n v="10"/>
    <x v="0"/>
    <s v="No"/>
    <x v="1"/>
    <s v="Yes"/>
    <n v="20"/>
    <n v="10"/>
    <n v="20"/>
  </r>
  <r>
    <n v="3510"/>
    <s v="Patrícia Oliveira"/>
    <x v="1"/>
    <x v="278"/>
    <x v="0"/>
    <n v="5"/>
    <x v="2"/>
    <s v="No"/>
    <x v="1"/>
    <s v="No"/>
    <n v="0"/>
    <n v="0"/>
    <n v="5"/>
  </r>
  <r>
    <n v="3511"/>
    <s v="Quentin Nogueira"/>
    <x v="0"/>
    <x v="279"/>
    <x v="1"/>
    <n v="15"/>
    <x v="0"/>
    <s v="Yes"/>
    <x v="0"/>
    <s v="Yes"/>
    <n v="20"/>
    <n v="15"/>
    <n v="50"/>
  </r>
  <r>
    <n v="3512"/>
    <s v="Raquel Silva"/>
    <x v="2"/>
    <x v="280"/>
    <x v="0"/>
    <n v="10"/>
    <x v="1"/>
    <s v="No"/>
    <x v="1"/>
    <s v="Yes"/>
    <n v="20"/>
    <n v="15"/>
    <n v="15"/>
  </r>
  <r>
    <n v="3513"/>
    <s v="Sandro Gomes"/>
    <x v="1"/>
    <x v="281"/>
    <x v="1"/>
    <n v="5"/>
    <x v="0"/>
    <s v="No"/>
    <x v="1"/>
    <s v="No"/>
    <n v="0"/>
    <n v="1"/>
    <n v="4"/>
  </r>
  <r>
    <n v="3514"/>
    <s v="Tânia Machado"/>
    <x v="0"/>
    <x v="282"/>
    <x v="0"/>
    <n v="15"/>
    <x v="2"/>
    <s v="Yes"/>
    <x v="0"/>
    <s v="Yes"/>
    <n v="20"/>
    <n v="7"/>
    <n v="58"/>
  </r>
  <r>
    <n v="3515"/>
    <s v="Ursula Silva"/>
    <x v="2"/>
    <x v="283"/>
    <x v="1"/>
    <n v="10"/>
    <x v="0"/>
    <s v="No"/>
    <x v="1"/>
    <s v="Yes"/>
    <n v="20"/>
    <n v="10"/>
    <n v="20"/>
  </r>
  <r>
    <n v="3516"/>
    <s v="Vanessa Moraes"/>
    <x v="1"/>
    <x v="284"/>
    <x v="0"/>
    <n v="5"/>
    <x v="1"/>
    <s v="No"/>
    <x v="1"/>
    <s v="No"/>
    <n v="0"/>
    <n v="0"/>
    <n v="5"/>
  </r>
  <r>
    <n v="3517"/>
    <s v="William Carvalho"/>
    <x v="0"/>
    <x v="285"/>
    <x v="1"/>
    <n v="15"/>
    <x v="0"/>
    <s v="Yes"/>
    <x v="0"/>
    <s v="Yes"/>
    <n v="20"/>
    <n v="20"/>
    <n v="45"/>
  </r>
  <r>
    <n v="3518"/>
    <s v="Xavier Reis"/>
    <x v="2"/>
    <x v="286"/>
    <x v="0"/>
    <n v="10"/>
    <x v="2"/>
    <s v="No"/>
    <x v="1"/>
    <s v="Yes"/>
    <n v="20"/>
    <n v="12"/>
    <n v="18"/>
  </r>
  <r>
    <n v="3519"/>
    <s v="Yasmin Rocha"/>
    <x v="1"/>
    <x v="287"/>
    <x v="1"/>
    <n v="5"/>
    <x v="0"/>
    <s v="No"/>
    <x v="1"/>
    <s v="No"/>
    <n v="0"/>
    <n v="2"/>
    <n v="3"/>
  </r>
  <r>
    <n v="3520"/>
    <s v="Zacarias Duarte"/>
    <x v="0"/>
    <x v="288"/>
    <x v="0"/>
    <n v="15"/>
    <x v="1"/>
    <s v="Yes"/>
    <x v="0"/>
    <s v="Yes"/>
    <n v="20"/>
    <n v="5"/>
    <n v="60"/>
  </r>
  <r>
    <n v="3521"/>
    <s v="Amanda Freitas"/>
    <x v="2"/>
    <x v="289"/>
    <x v="1"/>
    <n v="10"/>
    <x v="0"/>
    <s v="No"/>
    <x v="1"/>
    <s v="Yes"/>
    <n v="20"/>
    <n v="10"/>
    <n v="20"/>
  </r>
  <r>
    <n v="3522"/>
    <s v="Bruno Almeida"/>
    <x v="1"/>
    <x v="290"/>
    <x v="0"/>
    <n v="5"/>
    <x v="2"/>
    <s v="No"/>
    <x v="1"/>
    <s v="No"/>
    <n v="0"/>
    <n v="0"/>
    <n v="5"/>
  </r>
  <r>
    <n v="3523"/>
    <s v="Carla Siqueira"/>
    <x v="0"/>
    <x v="291"/>
    <x v="1"/>
    <n v="15"/>
    <x v="0"/>
    <s v="Yes"/>
    <x v="0"/>
    <s v="Yes"/>
    <n v="20"/>
    <n v="3"/>
    <n v="62"/>
  </r>
  <r>
    <n v="3524"/>
    <s v="Diogo Ramos"/>
    <x v="2"/>
    <x v="292"/>
    <x v="0"/>
    <n v="10"/>
    <x v="1"/>
    <s v="No"/>
    <x v="1"/>
    <s v="Yes"/>
    <n v="20"/>
    <n v="15"/>
    <n v="15"/>
  </r>
  <r>
    <n v="3525"/>
    <s v="Elisa Magalhães"/>
    <x v="1"/>
    <x v="293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4C5C2E-5735-44A8-9AC2-78821E4013A7}" name="tbl_plan_total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>
  <location ref="B54:C58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5B0BB8-1AEC-4FCA-AA35-199FD0D56221}" name="tbl_subscruption_total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46:B47" firstHeaderRow="1" firstDataRow="1" firstDataCol="0" rowPageCount="1" colPageCount="1"/>
  <pivotFields count="13">
    <pivotField dataField="1"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Items count="1">
    <i/>
  </rowItems>
  <colItems count="1">
    <i/>
  </colItems>
  <pageFields count="1">
    <pageField fld="6" item="2" hier="-1"/>
  </pageFields>
  <dataFields count="1">
    <dataField name="Contagem de Subscrib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9FADD1-6211-4D08-B297-120A697560F1}" name="tbl_mineseasopass_total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36:C40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2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CEB82-3804-4415-B8BC-343DB19CCAF6}" name="tbl_easeasopass_total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25:C29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DE8B4-D8F0-4BB9-A6F7-EA2B19C1CC43}" name="tb_annual_total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B13:C16" firstHeaderRow="1" firstDataRow="1" firstDataCol="1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6CC0714-31C3-4CCC-BB2B-73EBA774D391}" sourceName="Subscription Type">
  <pivotTables>
    <pivotTable tabId="3" name="tb_annual_total"/>
    <pivotTable tabId="3" name="tbl_easeasopass_total"/>
    <pivotTable tabId="3" name="tbl_mineseasopass_total"/>
    <pivotTable tabId="3" name="tbl_subscruption_total"/>
    <pivotTable tabId="3" name="tbl_plan_total"/>
  </pivotTables>
  <data>
    <tabular pivotCacheId="397119127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05A4266-51AE-425E-AFD0-0ABBE9C482B6}" cache="SegmentaçãodeDados_Subscription_Type" caption="Subscription Type" style="SlicerStyleLight6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128B5A76-8910-496B-9647-411017FA8FF1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2">
      <filters>
        <filter val="Standard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145" zoomScaleNormal="145" workbookViewId="0">
      <selection activeCell="B6" sqref="B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hidden="1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hidden="1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hidden="1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hidden="1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hidden="1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hidden="1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hidden="1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hidden="1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hidden="1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hidden="1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hidden="1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hidden="1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hidden="1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hidden="1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hidden="1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hidden="1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hidden="1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hidden="1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hidden="1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hidden="1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I58"/>
  <sheetViews>
    <sheetView showGridLines="0" workbookViewId="0">
      <selection activeCell="B6" sqref="B6"/>
    </sheetView>
  </sheetViews>
  <sheetFormatPr defaultRowHeight="15" x14ac:dyDescent="0.25"/>
  <cols>
    <col min="2" max="2" width="18.42578125" bestFit="1" customWidth="1"/>
    <col min="3" max="3" width="19.28515625" bestFit="1" customWidth="1"/>
    <col min="4" max="6" width="12.28515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9" ht="16.5" customHeight="1" x14ac:dyDescent="0.25">
      <c r="B3" s="24" t="s">
        <v>313</v>
      </c>
      <c r="C3" s="24"/>
      <c r="D3" s="24"/>
      <c r="E3" s="24"/>
      <c r="F3" s="24"/>
      <c r="G3" s="24"/>
      <c r="H3" s="24"/>
      <c r="I3" s="24"/>
    </row>
    <row r="4" spans="2:9" x14ac:dyDescent="0.25">
      <c r="B4" s="24"/>
      <c r="C4" s="24"/>
      <c r="D4" s="24"/>
      <c r="E4" s="24"/>
      <c r="F4" s="24"/>
      <c r="G4" s="24"/>
      <c r="H4" s="24"/>
      <c r="I4" s="24"/>
    </row>
    <row r="5" spans="2:9" x14ac:dyDescent="0.25">
      <c r="B5" s="24"/>
      <c r="C5" s="24"/>
      <c r="D5" s="24"/>
      <c r="E5" s="24"/>
      <c r="F5" s="24"/>
      <c r="G5" s="24"/>
      <c r="H5" s="24"/>
      <c r="I5" s="24"/>
    </row>
    <row r="11" spans="2:9" x14ac:dyDescent="0.25">
      <c r="B11" s="13" t="s">
        <v>16</v>
      </c>
      <c r="C11" t="s">
        <v>27</v>
      </c>
    </row>
    <row r="13" spans="2:9" x14ac:dyDescent="0.25">
      <c r="B13" s="13" t="s">
        <v>315</v>
      </c>
      <c r="C13" t="s">
        <v>314</v>
      </c>
    </row>
    <row r="14" spans="2:9" x14ac:dyDescent="0.25">
      <c r="B14" s="14" t="s">
        <v>23</v>
      </c>
      <c r="C14" s="12">
        <v>806</v>
      </c>
    </row>
    <row r="15" spans="2:9" x14ac:dyDescent="0.25">
      <c r="B15" s="14" t="s">
        <v>19</v>
      </c>
      <c r="C15" s="12">
        <v>1502</v>
      </c>
    </row>
    <row r="16" spans="2:9" x14ac:dyDescent="0.25">
      <c r="B16" s="14" t="s">
        <v>316</v>
      </c>
      <c r="C16" s="12">
        <v>2308</v>
      </c>
    </row>
    <row r="23" spans="2:7" x14ac:dyDescent="0.25">
      <c r="B23" s="13" t="s">
        <v>16</v>
      </c>
      <c r="C23" t="s">
        <v>27</v>
      </c>
    </row>
    <row r="25" spans="2:7" x14ac:dyDescent="0.25">
      <c r="B25" s="13" t="s">
        <v>315</v>
      </c>
      <c r="C25" t="s">
        <v>318</v>
      </c>
    </row>
    <row r="26" spans="2:7" x14ac:dyDescent="0.25">
      <c r="B26" s="14" t="s">
        <v>22</v>
      </c>
      <c r="C26">
        <v>0</v>
      </c>
    </row>
    <row r="27" spans="2:7" x14ac:dyDescent="0.25">
      <c r="B27" s="14" t="s">
        <v>26</v>
      </c>
      <c r="C27">
        <v>0</v>
      </c>
    </row>
    <row r="28" spans="2:7" x14ac:dyDescent="0.25">
      <c r="B28" s="14" t="s">
        <v>18</v>
      </c>
      <c r="C28">
        <v>990</v>
      </c>
    </row>
    <row r="29" spans="2:7" x14ac:dyDescent="0.25">
      <c r="B29" s="14" t="s">
        <v>316</v>
      </c>
      <c r="C29">
        <v>990</v>
      </c>
      <c r="G29" s="15">
        <f>GETPIVOTDATA("EA Play Season Pass
Price",$B$25,"Plan","Ultimate")</f>
        <v>990</v>
      </c>
    </row>
    <row r="34" spans="2:7" x14ac:dyDescent="0.25">
      <c r="B34" s="13" t="s">
        <v>16</v>
      </c>
      <c r="C34" t="s">
        <v>27</v>
      </c>
    </row>
    <row r="36" spans="2:7" x14ac:dyDescent="0.25">
      <c r="B36" s="13" t="s">
        <v>315</v>
      </c>
      <c r="C36" t="s">
        <v>319</v>
      </c>
    </row>
    <row r="37" spans="2:7" x14ac:dyDescent="0.25">
      <c r="B37" s="14" t="s">
        <v>22</v>
      </c>
      <c r="C37" s="12">
        <v>0</v>
      </c>
    </row>
    <row r="38" spans="2:7" x14ac:dyDescent="0.25">
      <c r="B38" s="14" t="s">
        <v>26</v>
      </c>
      <c r="C38" s="12">
        <v>480</v>
      </c>
    </row>
    <row r="39" spans="2:7" x14ac:dyDescent="0.25">
      <c r="B39" s="14" t="s">
        <v>18</v>
      </c>
      <c r="C39" s="12">
        <v>660</v>
      </c>
    </row>
    <row r="40" spans="2:7" x14ac:dyDescent="0.25">
      <c r="B40" s="14" t="s">
        <v>316</v>
      </c>
      <c r="C40" s="12">
        <v>1140</v>
      </c>
      <c r="G40" s="15">
        <f>GETPIVOTDATA("Minecraft Season Pass Price",$B$36)</f>
        <v>1140</v>
      </c>
    </row>
    <row r="44" spans="2:7" x14ac:dyDescent="0.25">
      <c r="B44" s="13" t="s">
        <v>16</v>
      </c>
      <c r="C44" t="s">
        <v>27</v>
      </c>
    </row>
    <row r="46" spans="2:7" x14ac:dyDescent="0.25">
      <c r="B46" t="s">
        <v>320</v>
      </c>
    </row>
    <row r="47" spans="2:7" x14ac:dyDescent="0.25">
      <c r="B47">
        <v>85</v>
      </c>
      <c r="G47">
        <f>GETPIVOTDATA("Subscriber ID",$B$46)</f>
        <v>85</v>
      </c>
    </row>
    <row r="52" spans="2:7" x14ac:dyDescent="0.25">
      <c r="B52" s="13" t="s">
        <v>16</v>
      </c>
      <c r="C52" t="s">
        <v>27</v>
      </c>
    </row>
    <row r="54" spans="2:7" x14ac:dyDescent="0.25">
      <c r="B54" s="13" t="s">
        <v>315</v>
      </c>
      <c r="C54" t="s">
        <v>314</v>
      </c>
    </row>
    <row r="55" spans="2:7" x14ac:dyDescent="0.25">
      <c r="B55" s="14" t="s">
        <v>22</v>
      </c>
      <c r="C55" s="12">
        <v>132</v>
      </c>
    </row>
    <row r="56" spans="2:7" x14ac:dyDescent="0.25">
      <c r="B56" s="14" t="s">
        <v>26</v>
      </c>
      <c r="C56" s="12">
        <v>395</v>
      </c>
    </row>
    <row r="57" spans="2:7" x14ac:dyDescent="0.25">
      <c r="B57" s="14" t="s">
        <v>18</v>
      </c>
      <c r="C57" s="12">
        <v>1781</v>
      </c>
    </row>
    <row r="58" spans="2:7" x14ac:dyDescent="0.25">
      <c r="B58" s="14" t="s">
        <v>316</v>
      </c>
      <c r="C58" s="12">
        <v>2308</v>
      </c>
      <c r="G58" s="15">
        <f>GETPIVOTDATA("Total Value",$B$54)</f>
        <v>2308</v>
      </c>
    </row>
  </sheetData>
  <mergeCells count="1">
    <mergeCell ref="B3:I5"/>
  </mergeCells>
  <pageMargins left="0.511811024" right="0.511811024" top="0.78740157499999996" bottom="0.78740157499999996" header="0.31496062000000002" footer="0.31496062000000002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G45"/>
  <sheetViews>
    <sheetView showGridLines="0" showRowColHeaders="0" tabSelected="1" zoomScale="80" zoomScaleNormal="80" workbookViewId="0">
      <selection activeCell="M58" sqref="M5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3.5703125" customWidth="1"/>
    <col min="2" max="2" width="9.5703125" customWidth="1"/>
    <col min="14" max="14" width="6.5703125" customWidth="1"/>
    <col min="27" max="27" width="13.85546875" customWidth="1"/>
    <col min="33" max="33" width="11.28515625" customWidth="1"/>
  </cols>
  <sheetData>
    <row r="1" spans="1:33" ht="24.75" customHeight="1" x14ac:dyDescent="0.25">
      <c r="A1" s="16"/>
      <c r="B1" s="17"/>
      <c r="C1" s="25" t="s">
        <v>317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6"/>
    </row>
    <row r="2" spans="1:33" ht="24" customHeight="1" thickBot="1" x14ac:dyDescent="0.3">
      <c r="A2" s="18"/>
      <c r="B2" s="5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8"/>
    </row>
    <row r="3" spans="1:33" ht="15.75" thickTop="1" x14ac:dyDescent="0.25">
      <c r="A3" s="18"/>
      <c r="B3" s="5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19"/>
    </row>
    <row r="4" spans="1:33" x14ac:dyDescent="0.25">
      <c r="A4" s="18"/>
      <c r="B4" s="5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19"/>
    </row>
    <row r="5" spans="1:33" ht="10.5" customHeight="1" x14ac:dyDescent="0.25">
      <c r="A5" s="18"/>
      <c r="B5" s="5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19"/>
    </row>
    <row r="6" spans="1:33" ht="9.75" customHeight="1" x14ac:dyDescent="0.25">
      <c r="A6" s="18"/>
      <c r="B6" s="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19"/>
    </row>
    <row r="7" spans="1:33" ht="33" customHeight="1" x14ac:dyDescent="0.25">
      <c r="A7" s="18"/>
      <c r="B7" s="5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19"/>
    </row>
    <row r="8" spans="1:33" x14ac:dyDescent="0.25">
      <c r="A8" s="18"/>
      <c r="B8" s="5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19"/>
    </row>
    <row r="9" spans="1:33" x14ac:dyDescent="0.25">
      <c r="A9" s="18"/>
      <c r="B9" s="5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19"/>
    </row>
    <row r="10" spans="1:33" x14ac:dyDescent="0.25">
      <c r="A10" s="18"/>
      <c r="B10" s="5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19"/>
    </row>
    <row r="11" spans="1:33" x14ac:dyDescent="0.25">
      <c r="A11" s="18"/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19"/>
    </row>
    <row r="12" spans="1:33" x14ac:dyDescent="0.25">
      <c r="A12" s="18"/>
      <c r="B12" s="5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19"/>
    </row>
    <row r="13" spans="1:33" x14ac:dyDescent="0.25">
      <c r="A13" s="18"/>
      <c r="B13" s="5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19"/>
    </row>
    <row r="14" spans="1:33" x14ac:dyDescent="0.25">
      <c r="A14" s="18"/>
      <c r="B14" s="5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19"/>
    </row>
    <row r="15" spans="1:33" x14ac:dyDescent="0.25">
      <c r="A15" s="18"/>
      <c r="B15" s="5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19"/>
    </row>
    <row r="16" spans="1:33" x14ac:dyDescent="0.25">
      <c r="A16" s="18"/>
      <c r="B16" s="5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19"/>
    </row>
    <row r="17" spans="1:33" x14ac:dyDescent="0.25">
      <c r="A17" s="18"/>
      <c r="B17" s="5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19"/>
    </row>
    <row r="18" spans="1:33" x14ac:dyDescent="0.25">
      <c r="A18" s="18"/>
      <c r="B18" s="5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19"/>
    </row>
    <row r="19" spans="1:33" x14ac:dyDescent="0.25">
      <c r="A19" s="18"/>
      <c r="B19" s="5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19"/>
    </row>
    <row r="20" spans="1:33" x14ac:dyDescent="0.25">
      <c r="A20" s="18"/>
      <c r="B20" s="5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19"/>
    </row>
    <row r="21" spans="1:33" x14ac:dyDescent="0.25">
      <c r="A21" s="18"/>
      <c r="B21" s="5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19"/>
    </row>
    <row r="22" spans="1:33" x14ac:dyDescent="0.25">
      <c r="A22" s="18"/>
      <c r="B22" s="5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19"/>
    </row>
    <row r="23" spans="1:33" x14ac:dyDescent="0.25">
      <c r="A23" s="18"/>
      <c r="B23" s="5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19"/>
    </row>
    <row r="24" spans="1:33" x14ac:dyDescent="0.25">
      <c r="A24" s="18"/>
      <c r="B24" s="5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19"/>
    </row>
    <row r="25" spans="1:33" x14ac:dyDescent="0.25">
      <c r="A25" s="18"/>
      <c r="B25" s="5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19"/>
    </row>
    <row r="26" spans="1:33" x14ac:dyDescent="0.25">
      <c r="A26" s="18"/>
      <c r="B26" s="5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19"/>
    </row>
    <row r="27" spans="1:33" x14ac:dyDescent="0.25">
      <c r="A27" s="18"/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19"/>
    </row>
    <row r="28" spans="1:33" x14ac:dyDescent="0.25">
      <c r="A28" s="18"/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19"/>
    </row>
    <row r="29" spans="1:33" x14ac:dyDescent="0.25">
      <c r="A29" s="18"/>
      <c r="B29" s="5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19"/>
    </row>
    <row r="30" spans="1:33" x14ac:dyDescent="0.25">
      <c r="A30" s="18"/>
      <c r="B30" s="5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19"/>
    </row>
    <row r="31" spans="1:33" x14ac:dyDescent="0.25">
      <c r="A31" s="18"/>
      <c r="B31" s="5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19"/>
    </row>
    <row r="32" spans="1:33" x14ac:dyDescent="0.25">
      <c r="A32" s="18"/>
      <c r="B32" s="5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19"/>
    </row>
    <row r="33" spans="1:33" x14ac:dyDescent="0.25">
      <c r="A33" s="18"/>
      <c r="B33" s="5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19"/>
    </row>
    <row r="34" spans="1:33" x14ac:dyDescent="0.25">
      <c r="A34" s="18"/>
      <c r="B34" s="5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19"/>
    </row>
    <row r="35" spans="1:33" x14ac:dyDescent="0.25">
      <c r="A35" s="18"/>
      <c r="B35" s="5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19"/>
    </row>
    <row r="36" spans="1:33" x14ac:dyDescent="0.25">
      <c r="A36" s="18"/>
      <c r="B36" s="5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19"/>
    </row>
    <row r="37" spans="1:33" x14ac:dyDescent="0.25">
      <c r="A37" s="18"/>
      <c r="B37" s="5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19"/>
    </row>
    <row r="38" spans="1:33" x14ac:dyDescent="0.25">
      <c r="A38" s="18"/>
      <c r="B38" s="5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19"/>
    </row>
    <row r="39" spans="1:33" x14ac:dyDescent="0.25">
      <c r="A39" s="18"/>
      <c r="B39" s="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19"/>
    </row>
    <row r="40" spans="1:33" x14ac:dyDescent="0.25">
      <c r="A40" s="18"/>
      <c r="B40" s="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19"/>
    </row>
    <row r="41" spans="1:33" x14ac:dyDescent="0.25">
      <c r="A41" s="18"/>
      <c r="B41" s="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19"/>
    </row>
    <row r="42" spans="1:33" x14ac:dyDescent="0.25">
      <c r="A42" s="18"/>
      <c r="B42" s="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19"/>
    </row>
    <row r="43" spans="1:33" x14ac:dyDescent="0.25">
      <c r="A43" s="18"/>
      <c r="B43" s="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19"/>
    </row>
    <row r="44" spans="1:33" ht="21" x14ac:dyDescent="0.35">
      <c r="A44" s="18"/>
      <c r="B44" s="5"/>
      <c r="C44" s="29" t="s">
        <v>321</v>
      </c>
      <c r="D44" s="29"/>
      <c r="E44" s="29"/>
      <c r="F44" s="29"/>
      <c r="G44" s="29"/>
      <c r="H44" s="29"/>
      <c r="I44" s="29"/>
      <c r="J44" s="29"/>
      <c r="K44" s="29"/>
      <c r="L44" s="29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19"/>
    </row>
    <row r="45" spans="1:33" ht="15.75" thickBot="1" x14ac:dyDescent="0.3">
      <c r="A45" s="20"/>
      <c r="B45" s="21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3"/>
    </row>
  </sheetData>
  <mergeCells count="2">
    <mergeCell ref="C1:AG2"/>
    <mergeCell ref="C44:L4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Monique Corrrêa</cp:lastModifiedBy>
  <dcterms:created xsi:type="dcterms:W3CDTF">2024-12-19T13:13:10Z</dcterms:created>
  <dcterms:modified xsi:type="dcterms:W3CDTF">2026-01-17T19:43:31Z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